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DAYANA\"/>
    </mc:Choice>
  </mc:AlternateContent>
  <xr:revisionPtr revIDLastSave="0" documentId="13_ncr:1_{BB5D5ECA-F957-4456-A637-2CABFBDE5D2B}" xr6:coauthVersionLast="47" xr6:coauthVersionMax="47" xr10:uidLastSave="{00000000-0000-0000-0000-000000000000}"/>
  <bookViews>
    <workbookView xWindow="-110" yWindow="-110" windowWidth="19420" windowHeight="10300" firstSheet="6" activeTab="8" xr2:uid="{00000000-000D-0000-FFFF-FFFF00000000}"/>
  </bookViews>
  <sheets>
    <sheet name="PT2018" sheetId="1" r:id="rId1"/>
    <sheet name="DF2018" sheetId="2" r:id="rId2"/>
    <sheet name="TE2018" sheetId="3" r:id="rId3"/>
    <sheet name="Causas Mortalidad 2018" sheetId="11" r:id="rId4"/>
    <sheet name="Causas Mortalidad 2005" sheetId="4" r:id="rId5"/>
    <sheet name="Causas Mortalidad 2005 Residenc" sheetId="5" r:id="rId6"/>
    <sheet name="DF2005" sheetId="6" r:id="rId7"/>
    <sheet name="TEM2005" sheetId="7" r:id="rId8"/>
    <sheet name="Análisis Longitudinal" sheetId="8" r:id="rId9"/>
    <sheet name="AL_Riohacha" sheetId="9" r:id="rId10"/>
  </sheets>
  <definedNames>
    <definedName name="_xlnm._FilterDatabase" localSheetId="5" hidden="1">'Causas Mortalidad 2005 Residenc'!$H$74:$J$126</definedName>
    <definedName name="_xlnm._FilterDatabase" localSheetId="3" hidden="1">'Causas Mortalidad 2018'!$V$3:$X$63</definedName>
  </definedNames>
  <calcPr calcId="191029"/>
</workbook>
</file>

<file path=xl/calcChain.xml><?xml version="1.0" encoding="utf-8"?>
<calcChain xmlns="http://schemas.openxmlformats.org/spreadsheetml/2006/main"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Y5" i="6"/>
  <c r="W6" i="11"/>
  <c r="W5" i="11"/>
  <c r="X10" i="11"/>
  <c r="X8" i="11"/>
  <c r="X6" i="11"/>
  <c r="X7" i="11"/>
  <c r="X9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5" i="11"/>
  <c r="V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5" i="11"/>
  <c r="X4" i="11"/>
  <c r="W4" i="11"/>
  <c r="V4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R5" i="11"/>
  <c r="Q5" i="11"/>
  <c r="P5" i="11"/>
  <c r="R4" i="11"/>
  <c r="Q4" i="11"/>
  <c r="P4" i="11"/>
  <c r="O12" i="3" l="1"/>
  <c r="O7" i="3"/>
  <c r="O6" i="3"/>
  <c r="I7" i="3"/>
  <c r="I6" i="3"/>
  <c r="H6" i="3"/>
  <c r="H7" i="3"/>
  <c r="P5" i="3"/>
  <c r="N7" i="3" s="1"/>
  <c r="Y2" i="6"/>
  <c r="Y13" i="6"/>
  <c r="H53" i="9"/>
  <c r="I53" i="9" s="1"/>
  <c r="F53" i="9"/>
  <c r="E53" i="9"/>
  <c r="H52" i="9"/>
  <c r="I52" i="9" s="1"/>
  <c r="F52" i="9"/>
  <c r="E52" i="9"/>
  <c r="H51" i="9"/>
  <c r="I51" i="9" s="1"/>
  <c r="F51" i="9"/>
  <c r="E51" i="9"/>
  <c r="H50" i="9"/>
  <c r="I50" i="9" s="1"/>
  <c r="F50" i="9"/>
  <c r="E50" i="9"/>
  <c r="H49" i="9"/>
  <c r="I49" i="9" s="1"/>
  <c r="J48" i="9" s="1"/>
  <c r="F49" i="9"/>
  <c r="H48" i="9"/>
  <c r="I48" i="9" s="1"/>
  <c r="F48" i="9"/>
  <c r="H47" i="9"/>
  <c r="I47" i="9" s="1"/>
  <c r="F47" i="9"/>
  <c r="E47" i="9"/>
  <c r="H46" i="9"/>
  <c r="I46" i="9" s="1"/>
  <c r="F46" i="9"/>
  <c r="E46" i="9"/>
  <c r="H45" i="9"/>
  <c r="I45" i="9" s="1"/>
  <c r="F45" i="9"/>
  <c r="E45" i="9"/>
  <c r="H44" i="9"/>
  <c r="I44" i="9" s="1"/>
  <c r="F44" i="9"/>
  <c r="E44" i="9"/>
  <c r="H43" i="9"/>
  <c r="I43" i="9" s="1"/>
  <c r="F43" i="9"/>
  <c r="E43" i="9"/>
  <c r="H42" i="9"/>
  <c r="I42" i="9" s="1"/>
  <c r="F42" i="9"/>
  <c r="E42" i="9"/>
  <c r="H41" i="9"/>
  <c r="I41" i="9" s="1"/>
  <c r="F41" i="9"/>
  <c r="E41" i="9"/>
  <c r="H40" i="9"/>
  <c r="I40" i="9" s="1"/>
  <c r="F40" i="9"/>
  <c r="E40" i="9"/>
  <c r="H39" i="9"/>
  <c r="I39" i="9" s="1"/>
  <c r="F39" i="9"/>
  <c r="H38" i="9"/>
  <c r="I38" i="9" s="1"/>
  <c r="F38" i="9"/>
  <c r="H37" i="9"/>
  <c r="I37" i="9" s="1"/>
  <c r="F37" i="9"/>
  <c r="H36" i="9"/>
  <c r="I36" i="9" s="1"/>
  <c r="F36" i="9"/>
  <c r="H35" i="9"/>
  <c r="I35" i="9" s="1"/>
  <c r="F35" i="9"/>
  <c r="H34" i="9"/>
  <c r="I34" i="9" s="1"/>
  <c r="F34" i="9"/>
  <c r="H33" i="9"/>
  <c r="I33" i="9" s="1"/>
  <c r="F33" i="9"/>
  <c r="H32" i="9"/>
  <c r="I32" i="9" s="1"/>
  <c r="F32" i="9"/>
  <c r="H31" i="9"/>
  <c r="I31" i="9" s="1"/>
  <c r="F31" i="9"/>
  <c r="H30" i="9"/>
  <c r="I30" i="9" s="1"/>
  <c r="I25" i="9"/>
  <c r="H25" i="9"/>
  <c r="G25" i="9"/>
  <c r="I24" i="9"/>
  <c r="H24" i="9"/>
  <c r="G24" i="9"/>
  <c r="I23" i="9"/>
  <c r="H23" i="9"/>
  <c r="G23" i="9"/>
  <c r="I22" i="9"/>
  <c r="H22" i="9"/>
  <c r="G22" i="9"/>
  <c r="I21" i="9"/>
  <c r="H21" i="9"/>
  <c r="G21" i="9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I12" i="9"/>
  <c r="H12" i="9"/>
  <c r="G12" i="9"/>
  <c r="I11" i="9"/>
  <c r="H11" i="9"/>
  <c r="G11" i="9"/>
  <c r="I10" i="9"/>
  <c r="H10" i="9"/>
  <c r="G10" i="9"/>
  <c r="I9" i="9"/>
  <c r="H9" i="9"/>
  <c r="G9" i="9"/>
  <c r="I8" i="9"/>
  <c r="H8" i="9"/>
  <c r="G8" i="9"/>
  <c r="I7" i="9"/>
  <c r="H7" i="9"/>
  <c r="G7" i="9"/>
  <c r="I6" i="9"/>
  <c r="H6" i="9"/>
  <c r="G6" i="9"/>
  <c r="I5" i="9"/>
  <c r="H5" i="9"/>
  <c r="G5" i="9"/>
  <c r="I4" i="9"/>
  <c r="H4" i="9"/>
  <c r="G4" i="9"/>
  <c r="I3" i="9"/>
  <c r="H3" i="9"/>
  <c r="G3" i="9"/>
  <c r="J53" i="8"/>
  <c r="H53" i="8"/>
  <c r="H52" i="8"/>
  <c r="J52" i="8" s="1"/>
  <c r="H51" i="8"/>
  <c r="J51" i="8" s="1"/>
  <c r="H50" i="8"/>
  <c r="J50" i="8" s="1"/>
  <c r="H49" i="8"/>
  <c r="J49" i="8" s="1"/>
  <c r="H48" i="8"/>
  <c r="J48" i="8" s="1"/>
  <c r="H47" i="8"/>
  <c r="J47" i="8" s="1"/>
  <c r="H46" i="8"/>
  <c r="J46" i="8" s="1"/>
  <c r="J45" i="8"/>
  <c r="H45" i="8"/>
  <c r="H44" i="8"/>
  <c r="J44" i="8" s="1"/>
  <c r="H43" i="8"/>
  <c r="J43" i="8" s="1"/>
  <c r="H42" i="8"/>
  <c r="J42" i="8" s="1"/>
  <c r="H41" i="8"/>
  <c r="J41" i="8" s="1"/>
  <c r="H40" i="8"/>
  <c r="J40" i="8" s="1"/>
  <c r="H39" i="8"/>
  <c r="J39" i="8" s="1"/>
  <c r="H38" i="8"/>
  <c r="J38" i="8" s="1"/>
  <c r="J37" i="8"/>
  <c r="I37" i="8"/>
  <c r="H37" i="8"/>
  <c r="H36" i="8"/>
  <c r="J36" i="8" s="1"/>
  <c r="H35" i="8"/>
  <c r="J35" i="8" s="1"/>
  <c r="H34" i="8"/>
  <c r="J34" i="8" s="1"/>
  <c r="H33" i="8"/>
  <c r="J33" i="8" s="1"/>
  <c r="H32" i="8"/>
  <c r="J32" i="8" s="1"/>
  <c r="H31" i="8"/>
  <c r="J31" i="8" s="1"/>
  <c r="H30" i="8"/>
  <c r="J30" i="8" s="1"/>
  <c r="I25" i="8"/>
  <c r="H25" i="8"/>
  <c r="G25" i="8"/>
  <c r="I24" i="8"/>
  <c r="H24" i="8"/>
  <c r="G24" i="8"/>
  <c r="I23" i="8"/>
  <c r="H23" i="8"/>
  <c r="G23" i="8"/>
  <c r="I22" i="8"/>
  <c r="H22" i="8"/>
  <c r="G22" i="8"/>
  <c r="I21" i="8"/>
  <c r="H21" i="8"/>
  <c r="G21" i="8"/>
  <c r="I20" i="8"/>
  <c r="H20" i="8"/>
  <c r="G20" i="8"/>
  <c r="I19" i="8"/>
  <c r="H19" i="8"/>
  <c r="G19" i="8"/>
  <c r="I18" i="8"/>
  <c r="H18" i="8"/>
  <c r="G18" i="8"/>
  <c r="I17" i="8"/>
  <c r="H17" i="8"/>
  <c r="G17" i="8"/>
  <c r="I16" i="8"/>
  <c r="H16" i="8"/>
  <c r="G16" i="8"/>
  <c r="I15" i="8"/>
  <c r="H15" i="8"/>
  <c r="G15" i="8"/>
  <c r="I14" i="8"/>
  <c r="H14" i="8"/>
  <c r="G14" i="8"/>
  <c r="I13" i="8"/>
  <c r="H13" i="8"/>
  <c r="G13" i="8"/>
  <c r="I12" i="8"/>
  <c r="H12" i="8"/>
  <c r="G12" i="8"/>
  <c r="I11" i="8"/>
  <c r="H11" i="8"/>
  <c r="G11" i="8"/>
  <c r="I10" i="8"/>
  <c r="H10" i="8"/>
  <c r="G10" i="8"/>
  <c r="I9" i="8"/>
  <c r="H9" i="8"/>
  <c r="G9" i="8"/>
  <c r="I8" i="8"/>
  <c r="H8" i="8"/>
  <c r="G8" i="8"/>
  <c r="I7" i="8"/>
  <c r="H7" i="8"/>
  <c r="G7" i="8"/>
  <c r="I6" i="8"/>
  <c r="H6" i="8"/>
  <c r="G6" i="8"/>
  <c r="I5" i="8"/>
  <c r="H5" i="8"/>
  <c r="G5" i="8"/>
  <c r="I4" i="8"/>
  <c r="H4" i="8"/>
  <c r="G4" i="8"/>
  <c r="I3" i="8"/>
  <c r="H3" i="8"/>
  <c r="G3" i="8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Y14" i="6"/>
  <c r="Y11" i="6"/>
  <c r="Y10" i="6"/>
  <c r="Y8" i="6"/>
  <c r="Y7" i="6"/>
  <c r="J125" i="5"/>
  <c r="I125" i="5"/>
  <c r="H125" i="5"/>
  <c r="J124" i="5"/>
  <c r="I124" i="5"/>
  <c r="H124" i="5"/>
  <c r="J123" i="5"/>
  <c r="I123" i="5"/>
  <c r="H123" i="5"/>
  <c r="J122" i="5"/>
  <c r="H122" i="5"/>
  <c r="J121" i="5"/>
  <c r="I121" i="5"/>
  <c r="H121" i="5"/>
  <c r="J120" i="5"/>
  <c r="I120" i="5"/>
  <c r="H120" i="5"/>
  <c r="J119" i="5"/>
  <c r="I119" i="5"/>
  <c r="H119" i="5"/>
  <c r="J118" i="5"/>
  <c r="H118" i="5"/>
  <c r="J117" i="5"/>
  <c r="I117" i="5"/>
  <c r="H117" i="5"/>
  <c r="J116" i="5"/>
  <c r="I116" i="5"/>
  <c r="H116" i="5"/>
  <c r="J115" i="5"/>
  <c r="I115" i="5"/>
  <c r="H115" i="5"/>
  <c r="J114" i="5"/>
  <c r="I114" i="5"/>
  <c r="H114" i="5"/>
  <c r="J113" i="5"/>
  <c r="I113" i="5"/>
  <c r="H113" i="5"/>
  <c r="J112" i="5"/>
  <c r="I112" i="5"/>
  <c r="H112" i="5"/>
  <c r="J111" i="5"/>
  <c r="I111" i="5"/>
  <c r="H111" i="5"/>
  <c r="J110" i="5"/>
  <c r="I110" i="5"/>
  <c r="H110" i="5"/>
  <c r="I109" i="5"/>
  <c r="H109" i="5"/>
  <c r="I108" i="5"/>
  <c r="H108" i="5"/>
  <c r="J107" i="5"/>
  <c r="I107" i="5"/>
  <c r="H107" i="5"/>
  <c r="J106" i="5"/>
  <c r="I106" i="5"/>
  <c r="H106" i="5"/>
  <c r="J105" i="5"/>
  <c r="I105" i="5"/>
  <c r="H105" i="5"/>
  <c r="J104" i="5"/>
  <c r="I104" i="5"/>
  <c r="H104" i="5"/>
  <c r="J103" i="5"/>
  <c r="I103" i="5"/>
  <c r="H103" i="5"/>
  <c r="J102" i="5"/>
  <c r="H102" i="5"/>
  <c r="J101" i="5"/>
  <c r="H101" i="5"/>
  <c r="I100" i="5"/>
  <c r="H100" i="5"/>
  <c r="J99" i="5"/>
  <c r="I99" i="5"/>
  <c r="H99" i="5"/>
  <c r="J98" i="5"/>
  <c r="I98" i="5"/>
  <c r="H98" i="5"/>
  <c r="J97" i="5"/>
  <c r="I97" i="5"/>
  <c r="H97" i="5"/>
  <c r="J96" i="5"/>
  <c r="I96" i="5"/>
  <c r="H96" i="5"/>
  <c r="J95" i="5"/>
  <c r="I95" i="5"/>
  <c r="H95" i="5"/>
  <c r="I94" i="5"/>
  <c r="H94" i="5"/>
  <c r="J93" i="5"/>
  <c r="I93" i="5"/>
  <c r="H93" i="5"/>
  <c r="J92" i="5"/>
  <c r="I92" i="5"/>
  <c r="H92" i="5"/>
  <c r="I91" i="5"/>
  <c r="H91" i="5"/>
  <c r="J90" i="5"/>
  <c r="H90" i="5"/>
  <c r="J89" i="5"/>
  <c r="H89" i="5"/>
  <c r="J88" i="5"/>
  <c r="H88" i="5"/>
  <c r="J87" i="5"/>
  <c r="I87" i="5"/>
  <c r="H87" i="5"/>
  <c r="J86" i="5"/>
  <c r="I86" i="5"/>
  <c r="H86" i="5"/>
  <c r="J85" i="5"/>
  <c r="I85" i="5"/>
  <c r="H85" i="5"/>
  <c r="J84" i="5"/>
  <c r="H84" i="5"/>
  <c r="J83" i="5"/>
  <c r="H83" i="5"/>
  <c r="J82" i="5"/>
  <c r="I82" i="5"/>
  <c r="H82" i="5"/>
  <c r="J81" i="5"/>
  <c r="I81" i="5"/>
  <c r="H81" i="5"/>
  <c r="J80" i="5"/>
  <c r="I80" i="5"/>
  <c r="H80" i="5"/>
  <c r="J79" i="5"/>
  <c r="I79" i="5"/>
  <c r="H79" i="5"/>
  <c r="J78" i="5"/>
  <c r="I78" i="5"/>
  <c r="H78" i="5"/>
  <c r="I77" i="5"/>
  <c r="H77" i="5"/>
  <c r="J76" i="5"/>
  <c r="I76" i="5"/>
  <c r="H76" i="5"/>
  <c r="J75" i="5"/>
  <c r="I75" i="5"/>
  <c r="H75" i="5"/>
  <c r="J68" i="5"/>
  <c r="I68" i="5"/>
  <c r="H68" i="5"/>
  <c r="J67" i="5"/>
  <c r="I67" i="5"/>
  <c r="H67" i="5"/>
  <c r="J66" i="5"/>
  <c r="I66" i="5"/>
  <c r="H66" i="5"/>
  <c r="J65" i="5"/>
  <c r="I65" i="5"/>
  <c r="H65" i="5"/>
  <c r="J64" i="5"/>
  <c r="I64" i="5"/>
  <c r="H64" i="5"/>
  <c r="J63" i="5"/>
  <c r="I63" i="5"/>
  <c r="H63" i="5"/>
  <c r="J62" i="5"/>
  <c r="I62" i="5"/>
  <c r="H62" i="5"/>
  <c r="J61" i="5"/>
  <c r="I61" i="5"/>
  <c r="H61" i="5"/>
  <c r="J60" i="5"/>
  <c r="I60" i="5"/>
  <c r="H60" i="5"/>
  <c r="J59" i="5"/>
  <c r="I59" i="5"/>
  <c r="H59" i="5"/>
  <c r="J58" i="5"/>
  <c r="I58" i="5"/>
  <c r="H58" i="5"/>
  <c r="J57" i="5"/>
  <c r="I57" i="5"/>
  <c r="H57" i="5"/>
  <c r="J56" i="5"/>
  <c r="I56" i="5"/>
  <c r="H56" i="5"/>
  <c r="J55" i="5"/>
  <c r="I55" i="5"/>
  <c r="H55" i="5"/>
  <c r="J54" i="5"/>
  <c r="I54" i="5"/>
  <c r="H54" i="5"/>
  <c r="J53" i="5"/>
  <c r="I53" i="5"/>
  <c r="H53" i="5"/>
  <c r="J52" i="5"/>
  <c r="I52" i="5"/>
  <c r="H52" i="5"/>
  <c r="J51" i="5"/>
  <c r="I51" i="5"/>
  <c r="H51" i="5"/>
  <c r="J50" i="5"/>
  <c r="I50" i="5"/>
  <c r="H50" i="5"/>
  <c r="J49" i="5"/>
  <c r="I49" i="5"/>
  <c r="H49" i="5"/>
  <c r="J48" i="5"/>
  <c r="I48" i="5"/>
  <c r="H48" i="5"/>
  <c r="J47" i="5"/>
  <c r="I47" i="5"/>
  <c r="H47" i="5"/>
  <c r="J46" i="5"/>
  <c r="I46" i="5"/>
  <c r="H46" i="5"/>
  <c r="J45" i="5"/>
  <c r="I45" i="5"/>
  <c r="H45" i="5"/>
  <c r="J44" i="5"/>
  <c r="I44" i="5"/>
  <c r="H44" i="5"/>
  <c r="J43" i="5"/>
  <c r="I43" i="5"/>
  <c r="H43" i="5"/>
  <c r="J42" i="5"/>
  <c r="I42" i="5"/>
  <c r="H42" i="5"/>
  <c r="J41" i="5"/>
  <c r="I41" i="5"/>
  <c r="H41" i="5"/>
  <c r="J40" i="5"/>
  <c r="I40" i="5"/>
  <c r="H40" i="5"/>
  <c r="J39" i="5"/>
  <c r="I39" i="5"/>
  <c r="H39" i="5"/>
  <c r="J38" i="5"/>
  <c r="I38" i="5"/>
  <c r="H38" i="5"/>
  <c r="J37" i="5"/>
  <c r="I37" i="5"/>
  <c r="H37" i="5"/>
  <c r="J36" i="5"/>
  <c r="I36" i="5"/>
  <c r="H36" i="5"/>
  <c r="J35" i="5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J5" i="5"/>
  <c r="I5" i="5"/>
  <c r="H5" i="5"/>
  <c r="I35" i="4"/>
  <c r="H35" i="4"/>
  <c r="G35" i="4"/>
  <c r="I34" i="4"/>
  <c r="H34" i="4"/>
  <c r="G34" i="4"/>
  <c r="I33" i="4"/>
  <c r="H33" i="4"/>
  <c r="G33" i="4"/>
  <c r="I32" i="4"/>
  <c r="H32" i="4"/>
  <c r="G32" i="4"/>
  <c r="H31" i="4"/>
  <c r="G31" i="4"/>
  <c r="H30" i="4"/>
  <c r="G30" i="4"/>
  <c r="H29" i="4"/>
  <c r="G29" i="4"/>
  <c r="I28" i="4"/>
  <c r="H28" i="4"/>
  <c r="G28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G12" i="4"/>
  <c r="I11" i="4"/>
  <c r="H11" i="4"/>
  <c r="G11" i="4"/>
  <c r="H10" i="4"/>
  <c r="G10" i="4"/>
  <c r="H9" i="4"/>
  <c r="G9" i="4"/>
  <c r="H8" i="4"/>
  <c r="G8" i="4"/>
  <c r="H7" i="4"/>
  <c r="G7" i="4"/>
  <c r="I6" i="4"/>
  <c r="H6" i="4"/>
  <c r="G6" i="4"/>
  <c r="M126" i="3"/>
  <c r="H126" i="3"/>
  <c r="G126" i="3"/>
  <c r="M120" i="3"/>
  <c r="H120" i="3"/>
  <c r="I120" i="3" s="1"/>
  <c r="G120" i="3"/>
  <c r="M114" i="3"/>
  <c r="H114" i="3"/>
  <c r="G114" i="3"/>
  <c r="I114" i="3" s="1"/>
  <c r="M108" i="3"/>
  <c r="H108" i="3"/>
  <c r="G108" i="3"/>
  <c r="M102" i="3"/>
  <c r="H102" i="3"/>
  <c r="G102" i="3"/>
  <c r="M96" i="3"/>
  <c r="H96" i="3"/>
  <c r="G96" i="3"/>
  <c r="M90" i="3"/>
  <c r="H90" i="3"/>
  <c r="G90" i="3"/>
  <c r="I90" i="3" s="1"/>
  <c r="M84" i="3"/>
  <c r="H84" i="3"/>
  <c r="G84" i="3"/>
  <c r="I84" i="3" s="1"/>
  <c r="M78" i="3"/>
  <c r="H78" i="3"/>
  <c r="G78" i="3"/>
  <c r="M72" i="3"/>
  <c r="H72" i="3"/>
  <c r="I72" i="3" s="1"/>
  <c r="G72" i="3"/>
  <c r="M66" i="3"/>
  <c r="H66" i="3"/>
  <c r="G66" i="3"/>
  <c r="I66" i="3" s="1"/>
  <c r="M60" i="3"/>
  <c r="H60" i="3"/>
  <c r="G60" i="3"/>
  <c r="I60" i="3" s="1"/>
  <c r="M54" i="3"/>
  <c r="H54" i="3"/>
  <c r="G54" i="3"/>
  <c r="I54" i="3" s="1"/>
  <c r="M48" i="3"/>
  <c r="H48" i="3"/>
  <c r="I48" i="3" s="1"/>
  <c r="G48" i="3"/>
  <c r="M42" i="3"/>
  <c r="H42" i="3"/>
  <c r="G42" i="3"/>
  <c r="M36" i="3"/>
  <c r="H36" i="3"/>
  <c r="G36" i="3"/>
  <c r="I36" i="3" s="1"/>
  <c r="M30" i="3"/>
  <c r="H30" i="3"/>
  <c r="G30" i="3"/>
  <c r="M24" i="3"/>
  <c r="H24" i="3"/>
  <c r="G24" i="3"/>
  <c r="M18" i="3"/>
  <c r="H18" i="3"/>
  <c r="G18" i="3"/>
  <c r="I18" i="3" s="1"/>
  <c r="M12" i="3"/>
  <c r="H12" i="3"/>
  <c r="G12" i="3"/>
  <c r="M7" i="3"/>
  <c r="G7" i="3"/>
  <c r="M6" i="3"/>
  <c r="G6" i="3"/>
  <c r="AJ5" i="3"/>
  <c r="N126" i="3" s="1"/>
  <c r="AI5" i="3"/>
  <c r="N120" i="3" s="1"/>
  <c r="O120" i="3" s="1"/>
  <c r="AH5" i="3"/>
  <c r="N114" i="3" s="1"/>
  <c r="AG5" i="3"/>
  <c r="N108" i="3" s="1"/>
  <c r="O108" i="3" s="1"/>
  <c r="AF5" i="3"/>
  <c r="N102" i="3" s="1"/>
  <c r="AE5" i="3"/>
  <c r="N96" i="3" s="1"/>
  <c r="O96" i="3" s="1"/>
  <c r="AD5" i="3"/>
  <c r="N90" i="3" s="1"/>
  <c r="AC5" i="3"/>
  <c r="N84" i="3" s="1"/>
  <c r="O84" i="3" s="1"/>
  <c r="AB5" i="3"/>
  <c r="N78" i="3" s="1"/>
  <c r="AA5" i="3"/>
  <c r="N72" i="3" s="1"/>
  <c r="O72" i="3" s="1"/>
  <c r="Z5" i="3"/>
  <c r="N66" i="3" s="1"/>
  <c r="Y5" i="3"/>
  <c r="N60" i="3" s="1"/>
  <c r="O60" i="3" s="1"/>
  <c r="X5" i="3"/>
  <c r="N54" i="3" s="1"/>
  <c r="W5" i="3"/>
  <c r="N48" i="3" s="1"/>
  <c r="O48" i="3" s="1"/>
  <c r="V5" i="3"/>
  <c r="N42" i="3" s="1"/>
  <c r="U5" i="3"/>
  <c r="N36" i="3" s="1"/>
  <c r="O36" i="3" s="1"/>
  <c r="T5" i="3"/>
  <c r="N30" i="3" s="1"/>
  <c r="S5" i="3"/>
  <c r="N24" i="3" s="1"/>
  <c r="O24" i="3" s="1"/>
  <c r="R5" i="3"/>
  <c r="N18" i="3" s="1"/>
  <c r="Q5" i="3"/>
  <c r="N12" i="3" s="1"/>
  <c r="O5" i="3"/>
  <c r="N6" i="3" s="1"/>
  <c r="I21" i="2"/>
  <c r="I20" i="2"/>
  <c r="F146" i="1" s="1"/>
  <c r="I18" i="2"/>
  <c r="F145" i="1" s="1"/>
  <c r="C18" i="2"/>
  <c r="I17" i="2"/>
  <c r="F144" i="1" s="1"/>
  <c r="C17" i="2"/>
  <c r="F142" i="1" s="1"/>
  <c r="F147" i="1"/>
  <c r="B143" i="1"/>
  <c r="J33" i="9" l="1"/>
  <c r="J37" i="9"/>
  <c r="I36" i="4"/>
  <c r="I42" i="3"/>
  <c r="I45" i="8"/>
  <c r="I41" i="8"/>
  <c r="J43" i="9"/>
  <c r="I33" i="8"/>
  <c r="I49" i="8"/>
  <c r="I12" i="3"/>
  <c r="I24" i="3"/>
  <c r="O90" i="3"/>
  <c r="I108" i="3"/>
  <c r="I17" i="4"/>
  <c r="O66" i="3"/>
  <c r="I96" i="3"/>
  <c r="G36" i="4"/>
  <c r="K33" i="8"/>
  <c r="K37" i="8"/>
  <c r="K41" i="8"/>
  <c r="K45" i="8"/>
  <c r="K49" i="8"/>
  <c r="I30" i="3"/>
  <c r="O54" i="3"/>
  <c r="I126" i="3"/>
  <c r="H36" i="4"/>
  <c r="J46" i="9"/>
  <c r="I31" i="8"/>
  <c r="I35" i="8"/>
  <c r="I39" i="8"/>
  <c r="I43" i="8"/>
  <c r="I47" i="8"/>
  <c r="I51" i="8"/>
  <c r="I102" i="3"/>
  <c r="J52" i="9"/>
  <c r="G17" i="4"/>
  <c r="H17" i="4"/>
  <c r="K31" i="8"/>
  <c r="K35" i="8"/>
  <c r="K39" i="8"/>
  <c r="K43" i="8"/>
  <c r="K47" i="8"/>
  <c r="K51" i="8"/>
  <c r="J50" i="9"/>
  <c r="F143" i="1"/>
  <c r="I78" i="3"/>
  <c r="J40" i="9"/>
  <c r="I69" i="5"/>
  <c r="J69" i="5"/>
  <c r="I126" i="5"/>
  <c r="J126" i="5"/>
  <c r="H69" i="5"/>
  <c r="H126" i="5"/>
  <c r="O78" i="3"/>
  <c r="J30" i="9"/>
  <c r="J31" i="9"/>
  <c r="J35" i="9"/>
  <c r="J41" i="9"/>
  <c r="J51" i="9"/>
  <c r="J38" i="9"/>
  <c r="K32" i="8"/>
  <c r="K36" i="8"/>
  <c r="K40" i="8"/>
  <c r="K48" i="8"/>
  <c r="O42" i="3"/>
  <c r="O30" i="3"/>
  <c r="O126" i="3"/>
  <c r="J49" i="9"/>
  <c r="K52" i="8"/>
  <c r="J34" i="9"/>
  <c r="K44" i="8"/>
  <c r="O18" i="3"/>
  <c r="O114" i="3"/>
  <c r="J32" i="9"/>
  <c r="J36" i="9"/>
  <c r="J39" i="9"/>
  <c r="J44" i="9"/>
  <c r="O102" i="3"/>
  <c r="K30" i="8"/>
  <c r="K34" i="8"/>
  <c r="K38" i="8"/>
  <c r="K42" i="8"/>
  <c r="K46" i="8"/>
  <c r="K50" i="8"/>
  <c r="J42" i="9"/>
  <c r="J47" i="9"/>
  <c r="J45" i="9"/>
  <c r="I30" i="8"/>
  <c r="I32" i="8"/>
  <c r="I34" i="8"/>
  <c r="I36" i="8"/>
  <c r="I38" i="8"/>
  <c r="I40" i="8"/>
  <c r="I42" i="8"/>
  <c r="I44" i="8"/>
  <c r="I46" i="8"/>
  <c r="I48" i="8"/>
  <c r="I50" i="8"/>
  <c r="I52" i="8"/>
</calcChain>
</file>

<file path=xl/sharedStrings.xml><?xml version="1.0" encoding="utf-8"?>
<sst xmlns="http://schemas.openxmlformats.org/spreadsheetml/2006/main" count="1984" uniqueCount="428">
  <si>
    <t>Población Total Censada 2018</t>
  </si>
  <si>
    <t>Total</t>
  </si>
  <si>
    <t>Sexo</t>
  </si>
  <si>
    <t>Cabecera</t>
  </si>
  <si>
    <t>Centro Poblado</t>
  </si>
  <si>
    <t>Rural disperso</t>
  </si>
  <si>
    <t>Hombre</t>
  </si>
  <si>
    <t>Mujer</t>
  </si>
  <si>
    <t>44_La Guajira</t>
  </si>
  <si>
    <t>44001_Riohacha</t>
  </si>
  <si>
    <t>0 a 4</t>
  </si>
  <si>
    <t>Total grupo edad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</si>
  <si>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</si>
  <si>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</si>
  <si>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</si>
  <si>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</si>
  <si>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</si>
  <si>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</si>
  <si>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</si>
  <si>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</si>
  <si>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</si>
  <si>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</si>
  <si>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</si>
  <si>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</si>
  <si>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</si>
  <si>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</si>
  <si>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</si>
  <si>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</si>
  <si>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a 89</t>
  </si>
  <si>
    <t>90 a 94</t>
  </si>
  <si>
    <t>95 a 99</t>
  </si>
  <si>
    <t>100 a 104</t>
  </si>
  <si>
    <t>105 a 109</t>
  </si>
  <si>
    <t>110 a 114</t>
  </si>
  <si>
    <t>115 a 119</t>
  </si>
  <si>
    <t>Población Total Guajira</t>
  </si>
  <si>
    <t>TBM La Guajira</t>
  </si>
  <si>
    <t>Población Riohacha</t>
  </si>
  <si>
    <t>TBM Riohacha</t>
  </si>
  <si>
    <t>Población Hombres Riohacha</t>
  </si>
  <si>
    <t>Población Mujeres Riohacha</t>
  </si>
  <si>
    <t>Población Hombres la Guajira</t>
  </si>
  <si>
    <t>Población Mujeres la Guajira</t>
  </si>
  <si>
    <t>44 La Guajira</t>
  </si>
  <si>
    <t>Departamento, municipio y área de residencia</t>
  </si>
  <si>
    <t>TOTAL</t>
  </si>
  <si>
    <t>Grupos de edad</t>
  </si>
  <si>
    <t>Menor 1 hora</t>
  </si>
  <si>
    <t>De 1 a 23 horas</t>
  </si>
  <si>
    <t>De 1 a 6 días</t>
  </si>
  <si>
    <t>De 7 a 27 dias</t>
  </si>
  <si>
    <t>De 28 a 29 días</t>
  </si>
  <si>
    <t>De 1 a 5 meses</t>
  </si>
  <si>
    <t>De 6 a 11 meses</t>
  </si>
  <si>
    <t>De 1 año</t>
  </si>
  <si>
    <t>De 2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</si>
  <si>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</si>
  <si>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</si>
  <si>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</si>
  <si>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</si>
  <si>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</si>
  <si>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</si>
  <si>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</si>
  <si>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</si>
  <si>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</si>
  <si>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</si>
  <si>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</si>
  <si>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</si>
  <si>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</si>
  <si>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</si>
  <si>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</si>
  <si>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</si>
  <si>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De 85 a 89 años</t>
  </si>
  <si>
    <t>De 90 a 94 años</t>
  </si>
  <si>
    <t>De 95 a 99 años</t>
  </si>
  <si>
    <t>De 100 años y más</t>
  </si>
  <si>
    <t>Edad desconocida</t>
  </si>
  <si>
    <t>Hombres</t>
  </si>
  <si>
    <t>Mujeres</t>
  </si>
  <si>
    <t>Indeterminado</t>
  </si>
  <si>
    <t>Cabecera municipal</t>
  </si>
  <si>
    <t>Centro poblado</t>
  </si>
  <si>
    <t>Sin información</t>
  </si>
  <si>
    <t>44001 Riohacha</t>
  </si>
  <si>
    <t>Defunciones La Guajira</t>
  </si>
  <si>
    <t>Defunciones Guajira Hombres</t>
  </si>
  <si>
    <t>Defunciones Riohacha</t>
  </si>
  <si>
    <t>Defunciones Guajira Mujeres</t>
  </si>
  <si>
    <t>Defunciones Hombres Riohacha</t>
  </si>
  <si>
    <t>Defunciones Mujeres Riohacha</t>
  </si>
  <si>
    <t>Tasas Específicas de Mortalidad</t>
  </si>
  <si>
    <t>Riohacha</t>
  </si>
  <si>
    <t>n</t>
  </si>
  <si>
    <t>La Guajira</t>
  </si>
  <si>
    <t>La Guajira Riohacha</t>
  </si>
  <si>
    <t>Defunciones</t>
  </si>
  <si>
    <t>Población Total</t>
  </si>
  <si>
    <t>TEM</t>
  </si>
  <si>
    <t>1 a 4</t>
  </si>
  <si>
    <t>94 a 99</t>
  </si>
  <si>
    <t>100 o más</t>
  </si>
  <si>
    <t>44035_Albania</t>
  </si>
  <si>
    <t>44078_Barrancas</t>
  </si>
  <si>
    <t>44090_Dibulla</t>
  </si>
  <si>
    <t>44098_Distracción</t>
  </si>
  <si>
    <t>44110_El Molino</t>
  </si>
  <si>
    <t>44279_Fonseca</t>
  </si>
  <si>
    <t>44378_Hatonuevo</t>
  </si>
  <si>
    <t>44420_La Jagua Del Pilar</t>
  </si>
  <si>
    <t>44430_Maicao</t>
  </si>
  <si>
    <t>120 a 121</t>
  </si>
  <si>
    <t>44560_Manaure</t>
  </si>
  <si>
    <t>44650_San Juan Del Cesar</t>
  </si>
  <si>
    <t>44847_Uribia</t>
  </si>
  <si>
    <t>44855_Urumita</t>
  </si>
  <si>
    <t>44874_Villanueva</t>
  </si>
  <si>
    <t>Causas de Muerte en La Guajira</t>
  </si>
  <si>
    <t>501 ACC. TRANSPORTE TERRESTRE, INCLUSIVE SECUELAS</t>
  </si>
  <si>
    <t>502 OTROS ACC. TRANSPORTE Y LOS NO ESP., INCLUSIVE SECUELAS</t>
  </si>
  <si>
    <t>503 CAIDAS</t>
  </si>
  <si>
    <t>505 ACC. CAUSADOS POR DISPARO DE ARMAS DE FUEGO</t>
  </si>
  <si>
    <t>506 AHOGAMIENTO Y SUMERSION ACCIDENTALES</t>
  </si>
  <si>
    <t>507 EXPOSICION AL HUMO, FUEGO Y LLAMAS</t>
  </si>
  <si>
    <t>508 ENVENENAMIENTO. ACC. POR, Y EXPOSICION A SUSTANC.NOCIVAS</t>
  </si>
  <si>
    <t>510 OTROS ACCIDENTES, INCLUSIVE SECUELAS</t>
  </si>
  <si>
    <t>511 LESIONES AUTOINFLIGIDAS INTENC.(SUICIDIOS), INCL. SECUELAS</t>
  </si>
  <si>
    <t>512 AGRESIONES (HOMICIDIOS), INCLUSIVE SECUELAS</t>
  </si>
  <si>
    <t>514 EVENTOS DE INTENCION NO DETERMINADA, INCL. SECUELAS</t>
  </si>
  <si>
    <t>Lugar de Ocurrencia Mortalidad por Causa Riohacha</t>
  </si>
  <si>
    <t>LISTA 6/67 CIE 10 DE OPS</t>
  </si>
  <si>
    <t>.</t>
  </si>
  <si>
    <t>101 ENFERMEDADES INFECCIOSAS INTESTINALES</t>
  </si>
  <si>
    <t>102 TUBERCULOSIS, INCLUSIVE SECUELAS</t>
  </si>
  <si>
    <t>103 CIERTAS ENF. TRANSMITIDAS POR VECTORES Y RABIA</t>
  </si>
  <si>
    <t>104 CIERTAS ENF. PREVENIBLES POR VACUNA</t>
  </si>
  <si>
    <t>105 MENINGITIS</t>
  </si>
  <si>
    <t>106 SEPTICEMIA</t>
  </si>
  <si>
    <t>107 INFECC. CON MODO DE TRANSM. PREDOM./. SEXUAL</t>
  </si>
  <si>
    <t>108 ENFERMEDAD POR EL VIH/SIDA</t>
  </si>
  <si>
    <t>109 INFECCIONES RESPIRATORIAS AGUDAS</t>
  </si>
  <si>
    <t>110 OTRASENF. INFECCIOSAS Y PARASITARIAS</t>
  </si>
  <si>
    <t>201 TUMOR MALIGNO DEL ESTOMAGO</t>
  </si>
  <si>
    <t>202 TUMOR MALIGNO DEL COLON</t>
  </si>
  <si>
    <t>203 TUMOR M. ORG.DIGESTIVOS Y PERITONEO, EXCL.ESTOM.Y COLON</t>
  </si>
  <si>
    <t>204 TUMOR MALIGNO HIGADO Y VIAS BILIARES</t>
  </si>
  <si>
    <t>205 TUMOR MALIGNO DEL PANCREAS</t>
  </si>
  <si>
    <t>206 T. M. DE TRAQUEA, BRONQUIOS Y PULMON</t>
  </si>
  <si>
    <t>207 TUMOR M.ORG. RESPIRAT. E INTRAT., EXCL.TRAQUEA, BRONQUIOS Y PULMON</t>
  </si>
  <si>
    <t>208 TUMOR MALIGNO DE LA MAMA</t>
  </si>
  <si>
    <t>209 T. MALIGNO DEL UTERO</t>
  </si>
  <si>
    <t>210 T. MALIGNO DE LA PROSTATA</t>
  </si>
  <si>
    <t>211 T. MALIGNO OTROS ORGANOS GENITOURINARIOS</t>
  </si>
  <si>
    <t>212 T. MALIGNO TEJIDO LINFATICO, ORG. HEMATOPOY. Y TEJIDOS AFINES</t>
  </si>
  <si>
    <t>213 RESIDUO DE TUMORES MALIGNOS</t>
  </si>
  <si>
    <t>214 CARCINOMA IN-SITU, T. BENIGNOS Y DE COMPORTAM.INCIERTO O DESCON.</t>
  </si>
  <si>
    <t>301 FIEBRE REUMATICA AGUDA Y ENF. CARDIACAS REUM. CRONICAS</t>
  </si>
  <si>
    <t>302 ENFERMEDADES HIPERTENSIVAS</t>
  </si>
  <si>
    <t>303 ENFERMEDADES ISQUEMICAS DEL CORAZON</t>
  </si>
  <si>
    <t>304 ENF. CARDIOPULMONAR, DE LA CIRC. PULM. Y OTRAS ENF. CORAZON</t>
  </si>
  <si>
    <t>306 INSUFICIENCOA CARDIACA</t>
  </si>
  <si>
    <t>307 ENFERMEDADES CEREBROVASCULARES</t>
  </si>
  <si>
    <t>308 ATEROSCLEROSIS</t>
  </si>
  <si>
    <t>309 RESTO ENF. DEL SISTEMA CIRCULATORIO</t>
  </si>
  <si>
    <t>401 FETO Y RECIEN NACIDO AFECTADOS POR CIERTAS AFECC. MATERNAS</t>
  </si>
  <si>
    <t>402 FETO Y RECIEN N. AFECTADOS POR COMPL. OBST. Y TRAUM. NACIMIENTO</t>
  </si>
  <si>
    <t>403 RETARDO CRECIM.FETAL, DESNUTR. FETAL., BAJO P./ NACER, GEST.CORTA</t>
  </si>
  <si>
    <t>404 TRAST. RESPIRATORIOS ESPECIFICOS DEL PERIODO PERINATAL</t>
  </si>
  <si>
    <t>405 SEPSIS BACTERIANA DEL RECIEN NACIDO</t>
  </si>
  <si>
    <t>407 OTRAS AFECC. ORIGINADAS EN PERIODO PERINATAL</t>
  </si>
  <si>
    <t>601 DIABETES MELLITUS</t>
  </si>
  <si>
    <t>602 DEFICIENCIAS NUTRICIONALES Y ANEMIAS NUTRICIONALES</t>
  </si>
  <si>
    <t>604 ENF. SISTEMA NERVIOSO, EXCEPTO MENINGITIS</t>
  </si>
  <si>
    <t>605 ENF. CRONICAS VIAS REPIRATORIAS INFERIORES</t>
  </si>
  <si>
    <t>606 OTRAS ENF. DE LAS VIAS RESPIRATORIAS SUPERIORES</t>
  </si>
  <si>
    <t>608 OTRAS ENFERMEDADES RESPIRATORIAS</t>
  </si>
  <si>
    <t>609 APENDICITIS, HERNIA CAVIDAD ABDOMINAL Y OBSTR. INTESTINAL</t>
  </si>
  <si>
    <t>610 CIERTAS ENF. CRONICAS DEL HIGADO Y CIRROSIS</t>
  </si>
  <si>
    <t>611 OTRAS ENF. SISTEMA DISGESTIVO</t>
  </si>
  <si>
    <t>612 ENFERMEDADES SISTEMA URINARIO</t>
  </si>
  <si>
    <t>613 HIPERPLASIA DE LA PROSTATA</t>
  </si>
  <si>
    <t>614 EMBARAZO, PARTO Y PUERPERIO</t>
  </si>
  <si>
    <t>615 MALFORMACIONES CONGEN., DEFORMID.Y ANOMALIAS CROMOSOMICAS</t>
  </si>
  <si>
    <t>616 RESIDUO</t>
  </si>
  <si>
    <t>700 SINTOMAS, SIGNOS Y AFECCIONES MAL DEFINIDAS</t>
  </si>
  <si>
    <t>La Guajira - Riohacha</t>
  </si>
  <si>
    <t>La Guajira Total</t>
  </si>
  <si>
    <t>Riohacha PT</t>
  </si>
  <si>
    <t>Edad</t>
  </si>
  <si>
    <t>La Guajira PT</t>
  </si>
  <si>
    <t xml:space="preserve"> 0 a 4 años</t>
  </si>
  <si>
    <t xml:space="preserve"> 5 a 9 años</t>
  </si>
  <si>
    <t xml:space="preserve"> 0 años</t>
  </si>
  <si>
    <t xml:space="preserve"> 10 a 14 años</t>
  </si>
  <si>
    <t xml:space="preserve"> 1 año</t>
  </si>
  <si>
    <t xml:space="preserve"> 15 a 19 años</t>
  </si>
  <si>
    <t xml:space="preserve"> 2 años</t>
  </si>
  <si>
    <t xml:space="preserve"> 20 a 24 años</t>
  </si>
  <si>
    <t xml:space="preserve"> 3 años</t>
  </si>
  <si>
    <t xml:space="preserve"> 25 a 29 años</t>
  </si>
  <si>
    <t>-</t>
  </si>
  <si>
    <t xml:space="preserve"> 4 años</t>
  </si>
  <si>
    <t>TBMH Guajira</t>
  </si>
  <si>
    <t xml:space="preserve"> 30 a 34 años</t>
  </si>
  <si>
    <t xml:space="preserve"> 5 años</t>
  </si>
  <si>
    <t>TBMM Guajira</t>
  </si>
  <si>
    <t xml:space="preserve"> 35 a 39 años</t>
  </si>
  <si>
    <t xml:space="preserve"> 6 años</t>
  </si>
  <si>
    <t xml:space="preserve"> 40 a 44 años</t>
  </si>
  <si>
    <t xml:space="preserve"> 7 años</t>
  </si>
  <si>
    <t>TBMH Riohacha</t>
  </si>
  <si>
    <t xml:space="preserve"> 45 a 49 años</t>
  </si>
  <si>
    <t xml:space="preserve"> 8 años</t>
  </si>
  <si>
    <t xml:space="preserve">TBMM Riohacha </t>
  </si>
  <si>
    <t xml:space="preserve"> 50 a 54 años</t>
  </si>
  <si>
    <t xml:space="preserve"> 9 años</t>
  </si>
  <si>
    <t xml:space="preserve"> 55 a 59 años</t>
  </si>
  <si>
    <t xml:space="preserve"> 10 años</t>
  </si>
  <si>
    <t xml:space="preserve"> 60 a 64 años</t>
  </si>
  <si>
    <t xml:space="preserve"> 11 años</t>
  </si>
  <si>
    <t xml:space="preserve"> 65 a 69 años</t>
  </si>
  <si>
    <t xml:space="preserve"> 12 años</t>
  </si>
  <si>
    <t xml:space="preserve"> 70 a 74 años</t>
  </si>
  <si>
    <t xml:space="preserve"> 13 años</t>
  </si>
  <si>
    <t xml:space="preserve"> 75 a 79 años</t>
  </si>
  <si>
    <t xml:space="preserve"> 14 años</t>
  </si>
  <si>
    <t xml:space="preserve"> 80 a 84 años</t>
  </si>
  <si>
    <t xml:space="preserve"> 15 años</t>
  </si>
  <si>
    <t xml:space="preserve"> 85 a 89 años</t>
  </si>
  <si>
    <t xml:space="preserve"> 16 años</t>
  </si>
  <si>
    <t xml:space="preserve"> 90 a 94 años</t>
  </si>
  <si>
    <t xml:space="preserve"> 17 años</t>
  </si>
  <si>
    <t xml:space="preserve"> 95 a 99 años</t>
  </si>
  <si>
    <t xml:space="preserve"> 18 años</t>
  </si>
  <si>
    <t xml:space="preserve"> 100 a 104 años</t>
  </si>
  <si>
    <t xml:space="preserve"> 19 años</t>
  </si>
  <si>
    <t xml:space="preserve"> 110 a 114 años</t>
  </si>
  <si>
    <t xml:space="preserve"> 20 años</t>
  </si>
  <si>
    <t xml:space="preserve"> Total</t>
  </si>
  <si>
    <t xml:space="preserve"> 21 años</t>
  </si>
  <si>
    <t xml:space="preserve"> 22 años</t>
  </si>
  <si>
    <t xml:space="preserve"> 23 años</t>
  </si>
  <si>
    <t xml:space="preserve"> 24 años</t>
  </si>
  <si>
    <t xml:space="preserve"> 25 años</t>
  </si>
  <si>
    <t xml:space="preserve"> 26 años</t>
  </si>
  <si>
    <t xml:space="preserve"> 27 años</t>
  </si>
  <si>
    <t xml:space="preserve"> 28 años</t>
  </si>
  <si>
    <t xml:space="preserve"> 29 años</t>
  </si>
  <si>
    <t xml:space="preserve"> 30 años</t>
  </si>
  <si>
    <t xml:space="preserve"> 31 años</t>
  </si>
  <si>
    <t xml:space="preserve"> 32 años</t>
  </si>
  <si>
    <t xml:space="preserve"> 33 años</t>
  </si>
  <si>
    <t xml:space="preserve"> 34 años</t>
  </si>
  <si>
    <t xml:space="preserve"> 35 años</t>
  </si>
  <si>
    <t xml:space="preserve"> 36 años</t>
  </si>
  <si>
    <t xml:space="preserve"> 37 años</t>
  </si>
  <si>
    <t xml:space="preserve"> 38 años</t>
  </si>
  <si>
    <t xml:space="preserve"> 39 años</t>
  </si>
  <si>
    <t xml:space="preserve"> 40 años</t>
  </si>
  <si>
    <t xml:space="preserve"> 41 años</t>
  </si>
  <si>
    <t xml:space="preserve"> 42 años</t>
  </si>
  <si>
    <t xml:space="preserve"> 43 años</t>
  </si>
  <si>
    <t xml:space="preserve"> 44 años</t>
  </si>
  <si>
    <t xml:space="preserve"> 45 años</t>
  </si>
  <si>
    <t xml:space="preserve"> 46 años</t>
  </si>
  <si>
    <t xml:space="preserve"> 47 años</t>
  </si>
  <si>
    <t xml:space="preserve"> 48 años</t>
  </si>
  <si>
    <t xml:space="preserve"> 49 años</t>
  </si>
  <si>
    <t xml:space="preserve"> 50 años</t>
  </si>
  <si>
    <t xml:space="preserve"> 51 años</t>
  </si>
  <si>
    <t xml:space="preserve"> 52 años</t>
  </si>
  <si>
    <t xml:space="preserve"> 53 años</t>
  </si>
  <si>
    <t xml:space="preserve"> 54 años</t>
  </si>
  <si>
    <t xml:space="preserve"> 55 años</t>
  </si>
  <si>
    <t xml:space="preserve"> 56 años</t>
  </si>
  <si>
    <t xml:space="preserve"> 57 años</t>
  </si>
  <si>
    <t xml:space="preserve"> 58 años</t>
  </si>
  <si>
    <t xml:space="preserve"> 59 años</t>
  </si>
  <si>
    <t xml:space="preserve"> 60 años</t>
  </si>
  <si>
    <t xml:space="preserve"> 61 años</t>
  </si>
  <si>
    <t xml:space="preserve"> 62 años</t>
  </si>
  <si>
    <t xml:space="preserve"> 63 años</t>
  </si>
  <si>
    <t xml:space="preserve"> 64 años</t>
  </si>
  <si>
    <t xml:space="preserve"> 65 años</t>
  </si>
  <si>
    <t xml:space="preserve"> 66 años</t>
  </si>
  <si>
    <t xml:space="preserve"> 67 años</t>
  </si>
  <si>
    <t xml:space="preserve"> 68 años</t>
  </si>
  <si>
    <t xml:space="preserve"> 69 años</t>
  </si>
  <si>
    <t xml:space="preserve"> 70 años</t>
  </si>
  <si>
    <t xml:space="preserve"> 71 años</t>
  </si>
  <si>
    <t xml:space="preserve"> 72 años</t>
  </si>
  <si>
    <t xml:space="preserve"> 73 años</t>
  </si>
  <si>
    <t xml:space="preserve"> 74 años</t>
  </si>
  <si>
    <t xml:space="preserve"> 75 años</t>
  </si>
  <si>
    <t xml:space="preserve"> 76 años</t>
  </si>
  <si>
    <t xml:space="preserve"> 77 años</t>
  </si>
  <si>
    <t xml:space="preserve"> 78 años</t>
  </si>
  <si>
    <t xml:space="preserve"> 79 años</t>
  </si>
  <si>
    <t xml:space="preserve"> 80 años</t>
  </si>
  <si>
    <t xml:space="preserve"> 81 años</t>
  </si>
  <si>
    <t xml:space="preserve"> 82 años</t>
  </si>
  <si>
    <t xml:space="preserve"> 83 años</t>
  </si>
  <si>
    <t xml:space="preserve"> 84 años</t>
  </si>
  <si>
    <t xml:space="preserve"> 85 años</t>
  </si>
  <si>
    <t xml:space="preserve"> 86 años</t>
  </si>
  <si>
    <t xml:space="preserve"> 87 años</t>
  </si>
  <si>
    <t xml:space="preserve"> 88 años</t>
  </si>
  <si>
    <t xml:space="preserve"> 89 años</t>
  </si>
  <si>
    <t xml:space="preserve"> 90 años</t>
  </si>
  <si>
    <t xml:space="preserve"> 91 años</t>
  </si>
  <si>
    <t xml:space="preserve"> 92 años</t>
  </si>
  <si>
    <t xml:space="preserve"> 93 años</t>
  </si>
  <si>
    <t xml:space="preserve"> 94 años</t>
  </si>
  <si>
    <t xml:space="preserve"> 95 años</t>
  </si>
  <si>
    <t xml:space="preserve"> 96 años</t>
  </si>
  <si>
    <t xml:space="preserve"> 97 años</t>
  </si>
  <si>
    <t xml:space="preserve"> 98 años</t>
  </si>
  <si>
    <t xml:space="preserve"> 99 años</t>
  </si>
  <si>
    <t xml:space="preserve"> 100 años</t>
  </si>
  <si>
    <t xml:space="preserve"> 101 años</t>
  </si>
  <si>
    <t xml:space="preserve"> 102 años</t>
  </si>
  <si>
    <t xml:space="preserve"> 103 años</t>
  </si>
  <si>
    <t xml:space="preserve"> 104 años</t>
  </si>
  <si>
    <t xml:space="preserve"> 105 años</t>
  </si>
  <si>
    <t xml:space="preserve"> 108 años</t>
  </si>
  <si>
    <t xml:space="preserve"> 106 años</t>
  </si>
  <si>
    <t xml:space="preserve"> 110 años</t>
  </si>
  <si>
    <t xml:space="preserve"> 107 años</t>
  </si>
  <si>
    <t xml:space="preserve"> 115 años</t>
  </si>
  <si>
    <t xml:space="preserve"> 109 años</t>
  </si>
  <si>
    <t xml:space="preserve"> 111 años</t>
  </si>
  <si>
    <t xml:space="preserve"> 112 años</t>
  </si>
  <si>
    <t xml:space="preserve"> 114 años</t>
  </si>
  <si>
    <t>Total Defunciones</t>
  </si>
  <si>
    <t>0 años</t>
  </si>
  <si>
    <t>1 a 4 años</t>
  </si>
  <si>
    <t xml:space="preserve"> 1 a 4 años</t>
  </si>
  <si>
    <t>Departamento</t>
  </si>
  <si>
    <t>Año</t>
  </si>
  <si>
    <t xml:space="preserve">Urbano </t>
  </si>
  <si>
    <t>Rural</t>
  </si>
  <si>
    <t>Crecimiento PT (%)</t>
  </si>
  <si>
    <t>Crecimiento Urbano (%)</t>
  </si>
  <si>
    <t>Crecimiento Rural (%)</t>
  </si>
  <si>
    <t>Nacimientos</t>
  </si>
  <si>
    <t>Centro poblado y Rural Disperso</t>
  </si>
  <si>
    <t>Crecimiento Vegetativo</t>
  </si>
  <si>
    <t>Tasa de Crecimiento Vegetativo (%)</t>
  </si>
  <si>
    <t xml:space="preserve">Crecimiento Migración Neta </t>
  </si>
  <si>
    <t>Tasa de Crecimiento Migración Neta (%)</t>
  </si>
  <si>
    <t>Municipio</t>
  </si>
  <si>
    <t>Tasa Vegetativa</t>
  </si>
  <si>
    <t>Migración</t>
  </si>
  <si>
    <t>Tasa de Crecimiento Migración (%)</t>
  </si>
  <si>
    <r>
      <rPr>
        <b/>
        <sz val="28"/>
        <color theme="1"/>
        <rFont val="Calibri"/>
        <family val="2"/>
        <scheme val="minor"/>
      </rPr>
      <t>GRÁFICOS</t>
    </r>
    <r>
      <rPr>
        <b/>
        <sz val="28"/>
        <color theme="1"/>
        <rFont val="Arial"/>
        <family val="2"/>
      </rPr>
      <t xml:space="preserve"> </t>
    </r>
  </si>
  <si>
    <t>GRÁFICOS</t>
  </si>
  <si>
    <t>Lugar de Ocurrencia Mortalidad por Causa La Guajira</t>
  </si>
  <si>
    <t>RIOHACHA</t>
  </si>
  <si>
    <t xml:space="preserve">Rangos de edad </t>
  </si>
  <si>
    <t>Rangos de edad</t>
  </si>
  <si>
    <t>GRÁFICO</t>
  </si>
  <si>
    <t>Municpios y edades simples</t>
  </si>
  <si>
    <t>101 Enfermedades infecciosas intestinales</t>
  </si>
  <si>
    <t>102 Tuberculosis</t>
  </si>
  <si>
    <t>103 Ciertas enfermedades transmisibles por vectores y rabia</t>
  </si>
  <si>
    <t>104 Ciertas enfermedades inmunoprevenibles</t>
  </si>
  <si>
    <t>105 Meningitis</t>
  </si>
  <si>
    <t>106 Septicemia, excepto neonatal</t>
  </si>
  <si>
    <t>107 Enfermedad por el VIH (SIDA)</t>
  </si>
  <si>
    <t>108 Infecciones respiratorias agudas</t>
  </si>
  <si>
    <t>109 Resto de ciertas enfermedades infecciosas y parasitarias</t>
  </si>
  <si>
    <t>201 Tumor maligno del estómago</t>
  </si>
  <si>
    <t>202 Tumor maligno del colon y de la unión rectosigmoidea</t>
  </si>
  <si>
    <t>203 Tumor maligno de los órganos digestivos y del peritoneo excepto estómago y colon</t>
  </si>
  <si>
    <t>204 Tumor maligno de la tráquea, los bronquios y el pulmón</t>
  </si>
  <si>
    <t>205 Tumor maligno de los órganos respiratorios e intratorácicos, excepto tráquea, bronquios y pulmón</t>
  </si>
  <si>
    <t>206 Tumor maligno de la mama de la mujer</t>
  </si>
  <si>
    <t>207 Tumor maligno del cuello del útero</t>
  </si>
  <si>
    <t>209 Tumor maligno del útero, parte no especificada</t>
  </si>
  <si>
    <t>210 Tumor maligno de la próstata</t>
  </si>
  <si>
    <t>211 Tumor maligno de otros órganos genitourinarios</t>
  </si>
  <si>
    <t>212 Leucemia</t>
  </si>
  <si>
    <t>213 Tumor maligno del tejido linfático, de otros órganos hematopoyéticos y de tejidos afines</t>
  </si>
  <si>
    <t>214 Tumores malignos de otras localizaciones y de las no especificadas</t>
  </si>
  <si>
    <t>215 Tumores in situ, beningnos y los de comportamiento incierto o desconocido</t>
  </si>
  <si>
    <t>302 Enfermedades hipertensivas</t>
  </si>
  <si>
    <t>303 Enfermedades isquémicas del corazón</t>
  </si>
  <si>
    <t>304 Enfermedad cardiopulmonar, enfermedades de la circulación pulmonar y otras formas de enfermedad del corazón</t>
  </si>
  <si>
    <t>306 Insuficiencia cardíaca</t>
  </si>
  <si>
    <t>307 Enfermedades cerebrovasculares</t>
  </si>
  <si>
    <t>309 Las demás enfermedades del sistema circulatorio</t>
  </si>
  <si>
    <t>401 Feto y recién nacido afectados por ciertas afecciones maternas</t>
  </si>
  <si>
    <t>402 Feto y recién nacido afectados por complicaciones obstétricas y traumatismo del nacimiento</t>
  </si>
  <si>
    <t>403 Retardo del crecimiento fetal, desnutrición fetal, gestación corta y bajo peso al nacer</t>
  </si>
  <si>
    <t>404 Trastornos respiratorios específicos del período perinatal</t>
  </si>
  <si>
    <t>405 Sepsis bacteriana del recién nacido</t>
  </si>
  <si>
    <t>406 Resto de ciertas afecciones originadas en el período perinatal</t>
  </si>
  <si>
    <t>501 Accidentes de transporte terrestre</t>
  </si>
  <si>
    <t>503 Caídas</t>
  </si>
  <si>
    <t>504 Accidentes por disparo de arma de fuego</t>
  </si>
  <si>
    <t>505 Ahogamiento y sumersión accidentales</t>
  </si>
  <si>
    <t>506 Accidentes que obstruyen la respiración</t>
  </si>
  <si>
    <t>507 Exposición a la corriente eléctrica</t>
  </si>
  <si>
    <t>508 Exposición al humo, fuego y llamas</t>
  </si>
  <si>
    <t>510 Otros accidentes, inclusive secuelas</t>
  </si>
  <si>
    <t>511 Lesiones autoinfligidas intencionalmente (suicidios)</t>
  </si>
  <si>
    <t>512 Agresiones (homicidios)</t>
  </si>
  <si>
    <t>513 Eventos de intención no determinada</t>
  </si>
  <si>
    <t>514 Las demás causas externas</t>
  </si>
  <si>
    <t>601 Diabetes mellitus</t>
  </si>
  <si>
    <t>602 Deficiencias nutricionales y anemias nutricionales</t>
  </si>
  <si>
    <t>603 Trastornos mentales y del comportamiento</t>
  </si>
  <si>
    <t>604 Enfermedades del sistema nervioso, excepto meningitis</t>
  </si>
  <si>
    <t>605 Enfermedades crónicas de las vías respiratorias inferiores</t>
  </si>
  <si>
    <t>606 Resto de enfermedades del sistema respiratorio</t>
  </si>
  <si>
    <t>607 Apendicitis, hernia de la cavidad abdominal y obstrucción intestinal</t>
  </si>
  <si>
    <t>608 Cirrosis y ciertas otras enfermedades cróncas del hígado</t>
  </si>
  <si>
    <t>609 Resto de enfermedades del sistema digestivo</t>
  </si>
  <si>
    <t>610 Enfermedades del sistema urinario</t>
  </si>
  <si>
    <t>611 Hiperplasia de la próstata</t>
  </si>
  <si>
    <t>612 Embarazo, parto y puerperio</t>
  </si>
  <si>
    <t>613 Malformaciones congénitas, deformidades y anomalías cromosómicas</t>
  </si>
  <si>
    <t>614 Resto de las enfermedades</t>
  </si>
  <si>
    <t>700 Signos, síntomas y afecciones mal definidas</t>
  </si>
  <si>
    <t>La guajira</t>
  </si>
  <si>
    <t xml:space="preserve">TBMH Riohacha </t>
  </si>
  <si>
    <t xml:space="preserve">TBMM La Guajira </t>
  </si>
  <si>
    <t xml:space="preserve">TBMH La Guajira </t>
  </si>
  <si>
    <t>LA GUAJIRA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</si>
</sst>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* #,##0.00_ ;_ * \-#,##0.00_ ;_ * &quot;-&quot;??_ ;_ @_ "/>
    <numFmt numFmtId="165" formatCode="_-* #,##0.00\ [$€]_-;\-* #,##0.00\ [$€]_-;_-* &quot;-&quot;??\ [$€]_-;_-@_-"/>
    <numFmt numFmtId="166" formatCode="_-* #,##0.00\ _P_t_s_-;\-* #,##0.00\ _P_t_s_-;_-* &quot;-&quot;??\ _P_t_s_-;_-@_-"/>
    <numFmt numFmtId="167" formatCode="#,000_);[Red]\(#,000\)"/>
    <numFmt numFmtId="168" formatCode="##\ ###\ ###\ ###\ ##0"/>
    <numFmt numFmtId="169" formatCode="##.\ \ \ \ #0"/>
  </numFmts>
  <fonts count="5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8.25"/>
      <color rgb="FF000000"/>
      <name val="Tahoma"/>
      <family val="2"/>
    </font>
    <font>
      <b/>
      <sz val="8.25"/>
      <color rgb="FF000000"/>
      <name val="Tahoma"/>
      <family val="2"/>
    </font>
    <font>
      <b/>
      <sz val="9"/>
      <name val="Arial"/>
      <family val="2"/>
    </font>
    <font>
      <b/>
      <sz val="12"/>
      <name val="Calibri"/>
      <family val="2"/>
      <scheme val="minor"/>
    </font>
    <font>
      <b/>
      <sz val="9"/>
      <color theme="1"/>
      <name val="Segoe UI"/>
      <family val="2"/>
    </font>
    <font>
      <sz val="9"/>
      <color rgb="FF000000"/>
      <name val="Segoe UI"/>
      <family val="2"/>
    </font>
    <font>
      <sz val="9"/>
      <name val="Segoe UI"/>
      <family val="2"/>
    </font>
    <font>
      <b/>
      <sz val="11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MS Sans Serif"/>
      <charset val="134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5FDEB"/>
        <bgColor indexed="64"/>
      </patternFill>
    </fill>
    <fill>
      <patternFill patternType="solid">
        <fgColor rgb="FFBDFBF1"/>
        <bgColor indexed="64"/>
      </patternFill>
    </fill>
    <fill>
      <patternFill patternType="solid">
        <fgColor rgb="FFFEF9BA"/>
        <bgColor indexed="64"/>
      </patternFill>
    </fill>
    <fill>
      <patternFill patternType="solid">
        <fgColor rgb="FFFCB2F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DAC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69">
    <xf numFmtId="0" fontId="0" fillId="0" borderId="0"/>
    <xf numFmtId="16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17" fillId="30" borderId="0" applyNumberFormat="0" applyBorder="0" applyAlignment="0" applyProtection="0"/>
    <xf numFmtId="0" fontId="17" fillId="14" borderId="0" applyNumberFormat="0" applyBorder="0" applyAlignment="0" applyProtection="0"/>
    <xf numFmtId="0" fontId="17" fillId="31" borderId="0" applyNumberFormat="0" applyBorder="0" applyAlignment="0" applyProtection="0"/>
    <xf numFmtId="0" fontId="17" fillId="17" borderId="0" applyNumberFormat="0" applyBorder="0" applyAlignment="0" applyProtection="0"/>
    <xf numFmtId="0" fontId="17" fillId="32" borderId="0" applyNumberFormat="0" applyBorder="0" applyAlignment="0" applyProtection="0"/>
    <xf numFmtId="0" fontId="17" fillId="20" borderId="0" applyNumberFormat="0" applyBorder="0" applyAlignment="0" applyProtection="0"/>
    <xf numFmtId="0" fontId="17" fillId="33" borderId="0" applyNumberFormat="0" applyBorder="0" applyAlignment="0" applyProtection="0"/>
    <xf numFmtId="0" fontId="17" fillId="23" borderId="0" applyNumberFormat="0" applyBorder="0" applyAlignment="0" applyProtection="0"/>
    <xf numFmtId="0" fontId="17" fillId="34" borderId="0" applyNumberFormat="0" applyBorder="0" applyAlignment="0" applyProtection="0"/>
    <xf numFmtId="0" fontId="17" fillId="26" borderId="0" applyNumberFormat="0" applyBorder="0" applyAlignment="0" applyProtection="0"/>
    <xf numFmtId="0" fontId="17" fillId="35" borderId="0" applyNumberFormat="0" applyBorder="0" applyAlignment="0" applyProtection="0"/>
    <xf numFmtId="0" fontId="17" fillId="29" borderId="0" applyNumberFormat="0" applyBorder="0" applyAlignment="0" applyProtection="0"/>
    <xf numFmtId="0" fontId="18" fillId="4" borderId="34" applyNumberFormat="0" applyAlignment="0" applyProtection="0"/>
    <xf numFmtId="0" fontId="18" fillId="4" borderId="34" applyNumberFormat="0" applyAlignment="0" applyProtection="0"/>
    <xf numFmtId="0" fontId="19" fillId="36" borderId="36" applyNumberFormat="0" applyAlignment="0" applyProtection="0"/>
    <xf numFmtId="0" fontId="20" fillId="0" borderId="37" applyNumberFormat="0" applyFill="0" applyAlignment="0" applyProtection="0"/>
    <xf numFmtId="0" fontId="21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8" borderId="0" applyNumberFormat="0" applyBorder="0" applyAlignment="0" applyProtection="0"/>
    <xf numFmtId="0" fontId="22" fillId="37" borderId="34" applyNumberFormat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38" borderId="0" applyNumberFormat="0" applyBorder="0" applyAlignment="0" applyProtection="0"/>
    <xf numFmtId="16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4" fillId="0" borderId="0"/>
    <xf numFmtId="0" fontId="23" fillId="0" borderId="0"/>
    <xf numFmtId="0" fontId="30" fillId="0" borderId="0"/>
    <xf numFmtId="0" fontId="23" fillId="0" borderId="0"/>
    <xf numFmtId="0" fontId="4" fillId="0" borderId="0"/>
    <xf numFmtId="0" fontId="4" fillId="40" borderId="33" applyNumberFormat="0" applyFont="0" applyAlignment="0" applyProtection="0"/>
    <xf numFmtId="0" fontId="4" fillId="40" borderId="33" applyNumberFormat="0" applyFont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31" fillId="4" borderId="35" applyNumberFormat="0" applyAlignment="0" applyProtection="0"/>
    <xf numFmtId="0" fontId="31" fillId="4" borderId="35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39" applyNumberFormat="0" applyFill="0" applyAlignment="0" applyProtection="0"/>
    <xf numFmtId="0" fontId="21" fillId="0" borderId="40" applyNumberFormat="0" applyFill="0" applyAlignment="0" applyProtection="0"/>
    <xf numFmtId="0" fontId="35" fillId="0" borderId="0" applyNumberFormat="0" applyFill="0" applyBorder="0" applyAlignment="0" applyProtection="0"/>
    <xf numFmtId="0" fontId="3" fillId="0" borderId="38" applyNumberFormat="0" applyFill="0" applyAlignment="0" applyProtection="0"/>
  </cellStyleXfs>
  <cellXfs count="530">
    <xf numFmtId="0" fontId="0" fillId="0" borderId="0" xfId="0"/>
    <xf numFmtId="0" fontId="0" fillId="0" borderId="4" xfId="0" applyBorder="1"/>
    <xf numFmtId="3" fontId="4" fillId="0" borderId="4" xfId="0" applyNumberFormat="1" applyFont="1" applyBorder="1" applyAlignment="1">
      <alignment horizontal="center"/>
    </xf>
    <xf numFmtId="10" fontId="0" fillId="0" borderId="4" xfId="2" applyNumberFormat="1" applyFont="1" applyBorder="1" applyAlignment="1"/>
    <xf numFmtId="3" fontId="4" fillId="0" borderId="4" xfId="0" applyNumberFormat="1" applyFont="1" applyBorder="1" applyAlignment="1">
      <alignment horizontal="center" vertical="center"/>
    </xf>
    <xf numFmtId="0" fontId="0" fillId="0" borderId="6" xfId="0" applyBorder="1"/>
    <xf numFmtId="3" fontId="4" fillId="0" borderId="6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0" fontId="0" fillId="0" borderId="8" xfId="0" applyNumberFormat="1" applyBorder="1"/>
    <xf numFmtId="10" fontId="0" fillId="0" borderId="8" xfId="2" applyNumberFormat="1" applyFont="1" applyBorder="1" applyAlignment="1"/>
    <xf numFmtId="3" fontId="4" fillId="0" borderId="4" xfId="0" applyNumberFormat="1" applyFont="1" applyBorder="1"/>
    <xf numFmtId="10" fontId="0" fillId="0" borderId="6" xfId="2" applyNumberFormat="1" applyFont="1" applyBorder="1" applyAlignment="1"/>
    <xf numFmtId="0" fontId="0" fillId="0" borderId="0" xfId="0" applyAlignment="1">
      <alignment vertical="center" wrapText="1"/>
    </xf>
    <xf numFmtId="0" fontId="0" fillId="0" borderId="13" xfId="0" applyBorder="1"/>
    <xf numFmtId="0" fontId="0" fillId="0" borderId="3" xfId="0" applyBorder="1"/>
    <xf numFmtId="0" fontId="0" fillId="0" borderId="5" xfId="0" applyBorder="1"/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4" fillId="0" borderId="4" xfId="0" applyNumberFormat="1" applyFont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right" vertical="center" wrapText="1"/>
    </xf>
    <xf numFmtId="0" fontId="0" fillId="0" borderId="8" xfId="0" applyBorder="1" applyAlignment="1">
      <alignment horizontal="right" wrapText="1"/>
    </xf>
    <xf numFmtId="3" fontId="6" fillId="3" borderId="4" xfId="0" applyNumberFormat="1" applyFont="1" applyFill="1" applyBorder="1" applyAlignment="1">
      <alignment horizontal="right" wrapText="1"/>
    </xf>
    <xf numFmtId="3" fontId="4" fillId="0" borderId="4" xfId="0" applyNumberFormat="1" applyFont="1" applyBorder="1" applyAlignment="1">
      <alignment horizontal="right" wrapText="1"/>
    </xf>
    <xf numFmtId="3" fontId="4" fillId="0" borderId="8" xfId="0" applyNumberFormat="1" applyFont="1" applyBorder="1" applyAlignment="1">
      <alignment horizontal="right" wrapText="1"/>
    </xf>
    <xf numFmtId="3" fontId="6" fillId="0" borderId="4" xfId="55" applyNumberFormat="1" applyFont="1" applyBorder="1" applyAlignment="1">
      <alignment horizontal="right" vertical="center" wrapText="1"/>
    </xf>
    <xf numFmtId="3" fontId="4" fillId="0" borderId="8" xfId="0" applyNumberFormat="1" applyFont="1" applyBorder="1"/>
    <xf numFmtId="3" fontId="4" fillId="0" borderId="6" xfId="0" applyNumberFormat="1" applyFont="1" applyBorder="1"/>
    <xf numFmtId="3" fontId="4" fillId="0" borderId="9" xfId="0" applyNumberFormat="1" applyFont="1" applyBorder="1"/>
    <xf numFmtId="0" fontId="3" fillId="0" borderId="0" xfId="0" applyFont="1"/>
    <xf numFmtId="169" fontId="0" fillId="0" borderId="0" xfId="0" applyNumberFormat="1"/>
    <xf numFmtId="0" fontId="3" fillId="0" borderId="25" xfId="0" applyFont="1" applyBorder="1"/>
    <xf numFmtId="0" fontId="0" fillId="0" borderId="16" xfId="0" applyBorder="1"/>
    <xf numFmtId="0" fontId="3" fillId="0" borderId="15" xfId="0" applyFont="1" applyBorder="1"/>
    <xf numFmtId="10" fontId="0" fillId="0" borderId="15" xfId="2" applyNumberFormat="1" applyFont="1" applyBorder="1" applyAlignment="1"/>
    <xf numFmtId="10" fontId="0" fillId="0" borderId="17" xfId="2" applyNumberFormat="1" applyFont="1" applyBorder="1" applyAlignment="1"/>
    <xf numFmtId="0" fontId="3" fillId="0" borderId="19" xfId="0" applyFont="1" applyBorder="1"/>
    <xf numFmtId="10" fontId="0" fillId="0" borderId="19" xfId="0" applyNumberFormat="1" applyBorder="1"/>
    <xf numFmtId="10" fontId="0" fillId="0" borderId="14" xfId="0" applyNumberFormat="1" applyBorder="1"/>
    <xf numFmtId="10" fontId="0" fillId="0" borderId="18" xfId="0" applyNumberFormat="1" applyBorder="1"/>
    <xf numFmtId="0" fontId="3" fillId="0" borderId="21" xfId="0" applyFont="1" applyBorder="1" applyAlignment="1">
      <alignment vertical="center" wrapText="1"/>
    </xf>
    <xf numFmtId="0" fontId="3" fillId="0" borderId="15" xfId="0" applyFont="1" applyBorder="1" applyAlignment="1">
      <alignment wrapText="1"/>
    </xf>
    <xf numFmtId="0" fontId="3" fillId="0" borderId="19" xfId="0" applyFont="1" applyBorder="1" applyAlignment="1">
      <alignment wrapText="1"/>
    </xf>
    <xf numFmtId="10" fontId="0" fillId="0" borderId="11" xfId="0" applyNumberFormat="1" applyBorder="1"/>
    <xf numFmtId="10" fontId="0" fillId="0" borderId="12" xfId="0" applyNumberFormat="1" applyBorder="1"/>
    <xf numFmtId="10" fontId="0" fillId="0" borderId="16" xfId="0" applyNumberFormat="1" applyBorder="1"/>
    <xf numFmtId="0" fontId="14" fillId="0" borderId="0" xfId="0" applyFont="1" applyAlignment="1">
      <alignment horizontal="left" vertical="top" wrapText="1"/>
    </xf>
    <xf numFmtId="2" fontId="0" fillId="0" borderId="0" xfId="0" applyNumberFormat="1"/>
    <xf numFmtId="3" fontId="13" fillId="0" borderId="0" xfId="54" applyNumberFormat="1" applyFont="1"/>
    <xf numFmtId="0" fontId="11" fillId="0" borderId="30" xfId="54" applyFont="1" applyBorder="1" applyAlignment="1">
      <alignment vertical="top"/>
    </xf>
    <xf numFmtId="0" fontId="11" fillId="0" borderId="31" xfId="54" applyFont="1" applyBorder="1" applyAlignment="1">
      <alignment vertical="top"/>
    </xf>
    <xf numFmtId="0" fontId="11" fillId="0" borderId="0" xfId="54" applyFont="1" applyAlignment="1">
      <alignment horizontal="center" vertical="top"/>
    </xf>
    <xf numFmtId="0" fontId="11" fillId="4" borderId="0" xfId="54" applyFont="1" applyFill="1" applyAlignment="1">
      <alignment horizontal="center" vertical="top"/>
    </xf>
    <xf numFmtId="3" fontId="12" fillId="2" borderId="0" xfId="54" applyNumberFormat="1" applyFont="1" applyFill="1" applyAlignment="1">
      <alignment horizontal="right" vertical="center"/>
    </xf>
    <xf numFmtId="3" fontId="12" fillId="2" borderId="0" xfId="54" applyNumberFormat="1" applyFont="1" applyFill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11" fillId="0" borderId="32" xfId="54" applyFont="1" applyBorder="1" applyAlignment="1">
      <alignment vertical="top"/>
    </xf>
    <xf numFmtId="0" fontId="11" fillId="0" borderId="4" xfId="54" applyFont="1" applyBorder="1" applyAlignment="1">
      <alignment horizontal="center" vertical="center" wrapText="1"/>
    </xf>
    <xf numFmtId="0" fontId="11" fillId="0" borderId="4" xfId="54" applyFont="1" applyBorder="1" applyAlignment="1">
      <alignment horizontal="center" vertical="top" wrapText="1"/>
    </xf>
    <xf numFmtId="0" fontId="11" fillId="4" borderId="4" xfId="54" applyFont="1" applyFill="1" applyBorder="1" applyAlignment="1">
      <alignment horizontal="center" vertical="top" wrapText="1"/>
    </xf>
    <xf numFmtId="3" fontId="12" fillId="2" borderId="4" xfId="54" applyNumberFormat="1" applyFont="1" applyFill="1" applyBorder="1" applyAlignment="1">
      <alignment horizontal="right" vertical="center" wrapText="1"/>
    </xf>
    <xf numFmtId="3" fontId="12" fillId="2" borderId="4" xfId="54" applyNumberFormat="1" applyFont="1" applyFill="1" applyBorder="1" applyAlignment="1">
      <alignment vertical="center" wrapText="1"/>
    </xf>
    <xf numFmtId="3" fontId="13" fillId="0" borderId="4" xfId="54" applyNumberFormat="1" applyFont="1" applyBorder="1"/>
    <xf numFmtId="0" fontId="11" fillId="0" borderId="41" xfId="54" applyFont="1" applyBorder="1" applyAlignment="1">
      <alignment vertical="top"/>
    </xf>
    <xf numFmtId="0" fontId="11" fillId="0" borderId="42" xfId="54" applyFont="1" applyBorder="1" applyAlignment="1">
      <alignment vertical="top"/>
    </xf>
    <xf numFmtId="0" fontId="11" fillId="0" borderId="4" xfId="54" applyFont="1" applyBorder="1" applyAlignment="1">
      <alignment vertical="top"/>
    </xf>
    <xf numFmtId="0" fontId="11" fillId="0" borderId="4" xfId="54" applyFont="1" applyBorder="1" applyAlignment="1">
      <alignment vertical="center" wrapText="1"/>
    </xf>
    <xf numFmtId="0" fontId="11" fillId="0" borderId="4" xfId="54" applyFont="1" applyBorder="1" applyAlignment="1">
      <alignment vertical="top" wrapText="1"/>
    </xf>
    <xf numFmtId="0" fontId="11" fillId="2" borderId="4" xfId="54" applyFont="1" applyFill="1" applyBorder="1" applyAlignment="1">
      <alignment vertical="top"/>
    </xf>
    <xf numFmtId="0" fontId="11" fillId="2" borderId="4" xfId="54" applyFont="1" applyFill="1" applyBorder="1" applyAlignment="1">
      <alignment wrapText="1"/>
    </xf>
    <xf numFmtId="0" fontId="11" fillId="2" borderId="4" xfId="54" applyFont="1" applyFill="1" applyBorder="1" applyAlignment="1">
      <alignment vertical="top" wrapText="1"/>
    </xf>
    <xf numFmtId="1" fontId="16" fillId="0" borderId="4" xfId="54" applyNumberFormat="1" applyFont="1" applyBorder="1" applyAlignment="1">
      <alignment vertical="top"/>
    </xf>
    <xf numFmtId="1" fontId="16" fillId="2" borderId="4" xfId="54" applyNumberFormat="1" applyFont="1" applyFill="1" applyBorder="1" applyAlignment="1">
      <alignment vertical="top"/>
    </xf>
    <xf numFmtId="1" fontId="11" fillId="0" borderId="4" xfId="54" applyNumberFormat="1" applyFont="1" applyBorder="1" applyAlignment="1">
      <alignment vertical="top"/>
    </xf>
    <xf numFmtId="1" fontId="11" fillId="2" borderId="4" xfId="54" applyNumberFormat="1" applyFont="1" applyFill="1" applyBorder="1" applyAlignment="1">
      <alignment vertical="top"/>
    </xf>
    <xf numFmtId="0" fontId="15" fillId="0" borderId="4" xfId="0" applyFont="1" applyBorder="1" applyAlignment="1">
      <alignment horizontal="center" vertical="center" wrapText="1"/>
    </xf>
    <xf numFmtId="3" fontId="13" fillId="5" borderId="4" xfId="0" applyNumberFormat="1" applyFont="1" applyFill="1" applyBorder="1" applyAlignment="1">
      <alignment horizontal="right" vertical="center" wrapText="1"/>
    </xf>
    <xf numFmtId="3" fontId="13" fillId="0" borderId="4" xfId="0" applyNumberFormat="1" applyFont="1" applyBorder="1" applyAlignment="1">
      <alignment horizontal="right" vertical="center" wrapText="1"/>
    </xf>
    <xf numFmtId="0" fontId="15" fillId="5" borderId="4" xfId="0" applyFont="1" applyFill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3" fontId="0" fillId="0" borderId="4" xfId="0" applyNumberFormat="1" applyBorder="1"/>
    <xf numFmtId="3" fontId="0" fillId="2" borderId="4" xfId="0" applyNumberFormat="1" applyFill="1" applyBorder="1"/>
    <xf numFmtId="3" fontId="13" fillId="41" borderId="4" xfId="0" applyNumberFormat="1" applyFont="1" applyFill="1" applyBorder="1" applyAlignment="1">
      <alignment horizontal="right" vertical="center" wrapText="1"/>
    </xf>
    <xf numFmtId="3" fontId="13" fillId="42" borderId="4" xfId="0" applyNumberFormat="1" applyFont="1" applyFill="1" applyBorder="1" applyAlignment="1">
      <alignment horizontal="right" vertical="center" wrapText="1"/>
    </xf>
    <xf numFmtId="3" fontId="13" fillId="43" borderId="4" xfId="0" applyNumberFormat="1" applyFont="1" applyFill="1" applyBorder="1" applyAlignment="1">
      <alignment horizontal="right" vertical="center" wrapText="1"/>
    </xf>
    <xf numFmtId="3" fontId="13" fillId="44" borderId="4" xfId="0" applyNumberFormat="1" applyFont="1" applyFill="1" applyBorder="1" applyAlignment="1">
      <alignment horizontal="right" vertical="center" wrapText="1"/>
    </xf>
    <xf numFmtId="3" fontId="13" fillId="45" borderId="4" xfId="0" applyNumberFormat="1" applyFont="1" applyFill="1" applyBorder="1" applyAlignment="1">
      <alignment horizontal="right" vertical="center" wrapText="1"/>
    </xf>
    <xf numFmtId="3" fontId="13" fillId="46" borderId="4" xfId="0" applyNumberFormat="1" applyFont="1" applyFill="1" applyBorder="1" applyAlignment="1">
      <alignment horizontal="right" vertical="center" wrapText="1"/>
    </xf>
    <xf numFmtId="3" fontId="13" fillId="47" borderId="4" xfId="0" applyNumberFormat="1" applyFont="1" applyFill="1" applyBorder="1" applyAlignment="1">
      <alignment horizontal="right" vertical="center" wrapText="1"/>
    </xf>
    <xf numFmtId="3" fontId="13" fillId="48" borderId="4" xfId="0" applyNumberFormat="1" applyFont="1" applyFill="1" applyBorder="1" applyAlignment="1">
      <alignment horizontal="right" vertical="center" wrapText="1"/>
    </xf>
    <xf numFmtId="3" fontId="13" fillId="49" borderId="4" xfId="0" applyNumberFormat="1" applyFont="1" applyFill="1" applyBorder="1" applyAlignment="1">
      <alignment horizontal="right" vertical="center" wrapText="1"/>
    </xf>
    <xf numFmtId="3" fontId="13" fillId="50" borderId="4" xfId="0" applyNumberFormat="1" applyFont="1" applyFill="1" applyBorder="1" applyAlignment="1">
      <alignment horizontal="right" vertical="center" wrapText="1"/>
    </xf>
    <xf numFmtId="3" fontId="13" fillId="51" borderId="4" xfId="0" applyNumberFormat="1" applyFont="1" applyFill="1" applyBorder="1" applyAlignment="1">
      <alignment horizontal="right" vertical="center" wrapText="1"/>
    </xf>
    <xf numFmtId="3" fontId="13" fillId="52" borderId="4" xfId="0" applyNumberFormat="1" applyFont="1" applyFill="1" applyBorder="1" applyAlignment="1">
      <alignment horizontal="right" vertical="center" wrapText="1"/>
    </xf>
    <xf numFmtId="3" fontId="13" fillId="53" borderId="4" xfId="0" applyNumberFormat="1" applyFont="1" applyFill="1" applyBorder="1" applyAlignment="1">
      <alignment horizontal="right" vertical="center" wrapText="1"/>
    </xf>
    <xf numFmtId="0" fontId="0" fillId="0" borderId="4" xfId="0" applyBorder="1" applyAlignment="1">
      <alignment horizontal="center" vertical="center" wrapText="1"/>
    </xf>
    <xf numFmtId="0" fontId="2" fillId="0" borderId="0" xfId="0" applyFont="1"/>
    <xf numFmtId="0" fontId="11" fillId="0" borderId="4" xfId="52" applyFont="1" applyBorder="1" applyAlignment="1">
      <alignment horizontal="center" vertical="top" wrapText="1"/>
    </xf>
    <xf numFmtId="0" fontId="11" fillId="4" borderId="4" xfId="52" applyFont="1" applyFill="1" applyBorder="1" applyAlignment="1">
      <alignment horizontal="center" vertical="top" wrapText="1"/>
    </xf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16" fontId="3" fillId="0" borderId="2" xfId="0" applyNumberFormat="1" applyFont="1" applyBorder="1" applyAlignment="1">
      <alignment horizontal="center"/>
    </xf>
    <xf numFmtId="3" fontId="0" fillId="0" borderId="6" xfId="0" applyNumberFormat="1" applyBorder="1"/>
    <xf numFmtId="3" fontId="0" fillId="0" borderId="9" xfId="0" applyNumberFormat="1" applyBorder="1"/>
    <xf numFmtId="0" fontId="3" fillId="0" borderId="23" xfId="0" applyFont="1" applyBorder="1"/>
    <xf numFmtId="0" fontId="11" fillId="4" borderId="2" xfId="52" applyFont="1" applyFill="1" applyBorder="1" applyAlignment="1">
      <alignment horizontal="center" vertical="top" wrapText="1"/>
    </xf>
    <xf numFmtId="3" fontId="12" fillId="2" borderId="7" xfId="52" applyNumberFormat="1" applyFont="1" applyFill="1" applyBorder="1" applyAlignment="1">
      <alignment horizontal="right" vertical="center" wrapText="1"/>
    </xf>
    <xf numFmtId="3" fontId="13" fillId="0" borderId="8" xfId="52" applyNumberFormat="1" applyFont="1" applyBorder="1"/>
    <xf numFmtId="3" fontId="12" fillId="2" borderId="8" xfId="52" applyNumberFormat="1" applyFont="1" applyFill="1" applyBorder="1" applyAlignment="1">
      <alignment horizontal="right" vertical="center" wrapText="1"/>
    </xf>
    <xf numFmtId="0" fontId="11" fillId="0" borderId="6" xfId="52" applyFont="1" applyBorder="1" applyAlignment="1">
      <alignment horizontal="center" vertical="top" wrapText="1"/>
    </xf>
    <xf numFmtId="3" fontId="13" fillId="0" borderId="9" xfId="52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4" fontId="0" fillId="0" borderId="8" xfId="0" applyNumberFormat="1" applyBorder="1" applyAlignment="1">
      <alignment vertical="center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/>
    <xf numFmtId="0" fontId="0" fillId="0" borderId="17" xfId="0" applyBorder="1"/>
    <xf numFmtId="0" fontId="0" fillId="0" borderId="47" xfId="0" applyBorder="1"/>
    <xf numFmtId="0" fontId="3" fillId="0" borderId="58" xfId="0" applyFont="1" applyBorder="1"/>
    <xf numFmtId="0" fontId="0" fillId="0" borderId="2" xfId="0" applyBorder="1"/>
    <xf numFmtId="0" fontId="0" fillId="0" borderId="7" xfId="0" applyBorder="1"/>
    <xf numFmtId="0" fontId="3" fillId="0" borderId="3" xfId="0" applyFont="1" applyBorder="1" applyAlignment="1">
      <alignment wrapText="1"/>
    </xf>
    <xf numFmtId="0" fontId="0" fillId="0" borderId="59" xfId="0" applyBorder="1"/>
    <xf numFmtId="3" fontId="6" fillId="3" borderId="4" xfId="0" applyNumberFormat="1" applyFont="1" applyFill="1" applyBorder="1" applyAlignment="1">
      <alignment horizontal="right" vertical="center" wrapText="1"/>
    </xf>
    <xf numFmtId="3" fontId="6" fillId="3" borderId="8" xfId="0" applyNumberFormat="1" applyFont="1" applyFill="1" applyBorder="1" applyAlignment="1">
      <alignment horizontal="right" vertical="center" wrapText="1"/>
    </xf>
    <xf numFmtId="3" fontId="9" fillId="3" borderId="19" xfId="0" applyNumberFormat="1" applyFont="1" applyFill="1" applyBorder="1" applyAlignment="1">
      <alignment horizontal="left" vertical="center" wrapText="1"/>
    </xf>
    <xf numFmtId="3" fontId="9" fillId="3" borderId="4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10" fontId="0" fillId="0" borderId="0" xfId="2" applyNumberFormat="1" applyFont="1" applyBorder="1" applyAlignment="1"/>
    <xf numFmtId="0" fontId="3" fillId="0" borderId="11" xfId="0" applyFont="1" applyBorder="1"/>
    <xf numFmtId="0" fontId="3" fillId="0" borderId="21" xfId="0" applyFont="1" applyBorder="1"/>
    <xf numFmtId="0" fontId="0" fillId="0" borderId="49" xfId="0" applyBorder="1"/>
    <xf numFmtId="4" fontId="0" fillId="0" borderId="7" xfId="0" applyNumberFormat="1" applyBorder="1" applyAlignment="1">
      <alignment horizontal="center" vertical="center" wrapText="1"/>
    </xf>
    <xf numFmtId="4" fontId="0" fillId="0" borderId="8" xfId="0" applyNumberFormat="1" applyBorder="1" applyAlignment="1">
      <alignment horizontal="center" vertical="center" wrapText="1"/>
    </xf>
    <xf numFmtId="4" fontId="0" fillId="0" borderId="17" xfId="0" applyNumberFormat="1" applyBorder="1"/>
    <xf numFmtId="0" fontId="11" fillId="0" borderId="45" xfId="54" applyFont="1" applyBorder="1" applyAlignment="1">
      <alignment vertical="top"/>
    </xf>
    <xf numFmtId="0" fontId="11" fillId="0" borderId="44" xfId="54" applyFont="1" applyBorder="1" applyAlignment="1">
      <alignment vertical="top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7" fillId="2" borderId="25" xfId="0" applyFont="1" applyFill="1" applyBorder="1" applyAlignment="1">
      <alignment horizontal="center" vertical="center" wrapText="1"/>
    </xf>
    <xf numFmtId="0" fontId="3" fillId="2" borderId="25" xfId="0" applyFont="1" applyFill="1" applyBorder="1"/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3" fontId="6" fillId="2" borderId="4" xfId="0" applyNumberFormat="1" applyFont="1" applyFill="1" applyBorder="1" applyAlignment="1">
      <alignment horizontal="right" vertical="center" wrapText="1"/>
    </xf>
    <xf numFmtId="3" fontId="6" fillId="2" borderId="8" xfId="0" applyNumberFormat="1" applyFont="1" applyFill="1" applyBorder="1" applyAlignment="1">
      <alignment horizontal="right" vertical="center" wrapText="1"/>
    </xf>
    <xf numFmtId="3" fontId="9" fillId="3" borderId="8" xfId="0" applyNumberFormat="1" applyFont="1" applyFill="1" applyBorder="1" applyAlignment="1">
      <alignment horizontal="center" vertical="center" wrapText="1"/>
    </xf>
    <xf numFmtId="3" fontId="6" fillId="3" borderId="63" xfId="0" applyNumberFormat="1" applyFont="1" applyFill="1" applyBorder="1" applyAlignment="1">
      <alignment horizontal="right" vertical="center" wrapText="1"/>
    </xf>
    <xf numFmtId="3" fontId="6" fillId="3" borderId="64" xfId="0" applyNumberFormat="1" applyFont="1" applyFill="1" applyBorder="1" applyAlignment="1">
      <alignment horizontal="right" vertical="center" wrapText="1"/>
    </xf>
    <xf numFmtId="3" fontId="9" fillId="3" borderId="3" xfId="0" applyNumberFormat="1" applyFont="1" applyFill="1" applyBorder="1" applyAlignment="1">
      <alignment horizontal="left" vertical="center" wrapText="1"/>
    </xf>
    <xf numFmtId="3" fontId="9" fillId="2" borderId="3" xfId="0" applyNumberFormat="1" applyFont="1" applyFill="1" applyBorder="1" applyAlignment="1">
      <alignment horizontal="left" vertical="center" wrapText="1"/>
    </xf>
    <xf numFmtId="10" fontId="0" fillId="0" borderId="3" xfId="2" applyNumberFormat="1" applyFont="1" applyBorder="1" applyAlignment="1"/>
    <xf numFmtId="10" fontId="0" fillId="0" borderId="5" xfId="2" applyNumberFormat="1" applyFont="1" applyBorder="1" applyAlignment="1"/>
    <xf numFmtId="10" fontId="0" fillId="0" borderId="9" xfId="2" applyNumberFormat="1" applyFont="1" applyBorder="1" applyAlignment="1"/>
    <xf numFmtId="10" fontId="0" fillId="0" borderId="49" xfId="2" applyNumberFormat="1" applyFont="1" applyBorder="1" applyAlignment="1"/>
    <xf numFmtId="10" fontId="0" fillId="0" borderId="53" xfId="2" applyNumberFormat="1" applyFont="1" applyBorder="1" applyAlignment="1"/>
    <xf numFmtId="0" fontId="3" fillId="0" borderId="22" xfId="0" applyFont="1" applyBorder="1" applyAlignment="1">
      <alignment horizontal="center" vertical="center" wrapText="1"/>
    </xf>
    <xf numFmtId="0" fontId="0" fillId="0" borderId="53" xfId="0" applyBorder="1"/>
    <xf numFmtId="0" fontId="8" fillId="0" borderId="27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wrapText="1"/>
    </xf>
    <xf numFmtId="168" fontId="7" fillId="0" borderId="68" xfId="0" applyNumberFormat="1" applyFont="1" applyBorder="1" applyAlignment="1">
      <alignment horizontal="center" wrapText="1"/>
    </xf>
    <xf numFmtId="168" fontId="7" fillId="0" borderId="69" xfId="0" applyNumberFormat="1" applyFont="1" applyBorder="1" applyAlignment="1">
      <alignment horizontal="center" wrapText="1"/>
    </xf>
    <xf numFmtId="0" fontId="7" fillId="0" borderId="70" xfId="0" applyFont="1" applyBorder="1" applyAlignment="1">
      <alignment horizontal="center" wrapText="1"/>
    </xf>
    <xf numFmtId="168" fontId="7" fillId="0" borderId="20" xfId="0" applyNumberFormat="1" applyFont="1" applyBorder="1" applyAlignment="1">
      <alignment horizontal="center" wrapText="1"/>
    </xf>
    <xf numFmtId="168" fontId="7" fillId="0" borderId="71" xfId="0" applyNumberFormat="1" applyFont="1" applyBorder="1" applyAlignment="1">
      <alignment horizontal="center" wrapText="1"/>
    </xf>
    <xf numFmtId="0" fontId="7" fillId="0" borderId="79" xfId="0" applyFont="1" applyBorder="1" applyAlignment="1">
      <alignment horizontal="center" wrapText="1"/>
    </xf>
    <xf numFmtId="168" fontId="7" fillId="0" borderId="80" xfId="0" applyNumberFormat="1" applyFont="1" applyBorder="1" applyAlignment="1">
      <alignment horizontal="center" wrapText="1"/>
    </xf>
    <xf numFmtId="168" fontId="7" fillId="0" borderId="81" xfId="0" applyNumberFormat="1" applyFont="1" applyBorder="1" applyAlignment="1">
      <alignment horizontal="center" wrapText="1"/>
    </xf>
    <xf numFmtId="0" fontId="7" fillId="0" borderId="13" xfId="0" applyFont="1" applyBorder="1" applyAlignment="1">
      <alignment horizontal="center" vertical="center" wrapText="1"/>
    </xf>
    <xf numFmtId="168" fontId="7" fillId="0" borderId="49" xfId="0" applyNumberFormat="1" applyFont="1" applyBorder="1" applyAlignment="1">
      <alignment horizontal="center" vertical="center" wrapText="1"/>
    </xf>
    <xf numFmtId="168" fontId="7" fillId="0" borderId="5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8" fontId="7" fillId="0" borderId="4" xfId="0" applyNumberFormat="1" applyFont="1" applyBorder="1" applyAlignment="1">
      <alignment horizontal="center" vertical="center" wrapText="1"/>
    </xf>
    <xf numFmtId="168" fontId="7" fillId="0" borderId="8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8" fontId="7" fillId="0" borderId="48" xfId="0" applyNumberFormat="1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168" fontId="7" fillId="0" borderId="51" xfId="0" applyNumberFormat="1" applyFont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7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wrapText="1"/>
    </xf>
    <xf numFmtId="0" fontId="7" fillId="0" borderId="67" xfId="0" applyFont="1" applyBorder="1" applyAlignment="1">
      <alignment horizontal="center" vertical="center" wrapText="1"/>
    </xf>
    <xf numFmtId="168" fontId="7" fillId="0" borderId="68" xfId="0" applyNumberFormat="1" applyFont="1" applyBorder="1" applyAlignment="1">
      <alignment horizontal="center" vertical="center" wrapText="1"/>
    </xf>
    <xf numFmtId="168" fontId="7" fillId="0" borderId="69" xfId="0" applyNumberFormat="1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 wrapText="1"/>
    </xf>
    <xf numFmtId="168" fontId="7" fillId="0" borderId="20" xfId="0" applyNumberFormat="1" applyFont="1" applyBorder="1" applyAlignment="1">
      <alignment horizontal="center" vertical="center" wrapText="1"/>
    </xf>
    <xf numFmtId="168" fontId="7" fillId="0" borderId="71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79" xfId="0" applyFont="1" applyBorder="1" applyAlignment="1">
      <alignment horizontal="center" vertical="center" wrapText="1"/>
    </xf>
    <xf numFmtId="168" fontId="7" fillId="0" borderId="80" xfId="0" applyNumberFormat="1" applyFont="1" applyBorder="1" applyAlignment="1">
      <alignment horizontal="center" vertical="center" wrapText="1"/>
    </xf>
    <xf numFmtId="168" fontId="7" fillId="0" borderId="81" xfId="0" applyNumberFormat="1" applyFont="1" applyBorder="1" applyAlignment="1">
      <alignment horizontal="center" vertical="center" wrapText="1"/>
    </xf>
    <xf numFmtId="2" fontId="0" fillId="0" borderId="25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1" xfId="0" applyBorder="1"/>
    <xf numFmtId="0" fontId="0" fillId="0" borderId="28" xfId="0" applyBorder="1" applyAlignment="1">
      <alignment horizontal="center" vertical="center"/>
    </xf>
    <xf numFmtId="168" fontId="7" fillId="0" borderId="43" xfId="0" applyNumberFormat="1" applyFont="1" applyBorder="1" applyAlignment="1">
      <alignment horizontal="center" vertical="center"/>
    </xf>
    <xf numFmtId="168" fontId="7" fillId="0" borderId="83" xfId="0" applyNumberFormat="1" applyFont="1" applyBorder="1" applyAlignment="1">
      <alignment horizontal="center" vertical="center"/>
    </xf>
    <xf numFmtId="168" fontId="7" fillId="0" borderId="4" xfId="0" applyNumberFormat="1" applyFont="1" applyBorder="1" applyAlignment="1">
      <alignment horizontal="center" wrapText="1"/>
    </xf>
    <xf numFmtId="168" fontId="7" fillId="0" borderId="6" xfId="0" applyNumberFormat="1" applyFont="1" applyBorder="1" applyAlignment="1">
      <alignment horizontal="center" wrapText="1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5" fillId="0" borderId="1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0" fillId="0" borderId="46" xfId="0" applyBorder="1"/>
    <xf numFmtId="0" fontId="0" fillId="0" borderId="84" xfId="0" applyBorder="1"/>
    <xf numFmtId="0" fontId="3" fillId="2" borderId="27" xfId="0" applyFont="1" applyFill="1" applyBorder="1" applyAlignment="1">
      <alignment horizontal="center" vertical="center" wrapText="1"/>
    </xf>
    <xf numFmtId="3" fontId="6" fillId="3" borderId="2" xfId="0" applyNumberFormat="1" applyFont="1" applyFill="1" applyBorder="1" applyAlignment="1">
      <alignment horizontal="right" vertical="top" wrapText="1"/>
    </xf>
    <xf numFmtId="0" fontId="0" fillId="0" borderId="85" xfId="0" applyBorder="1"/>
    <xf numFmtId="3" fontId="0" fillId="0" borderId="2" xfId="0" applyNumberFormat="1" applyBorder="1"/>
    <xf numFmtId="10" fontId="0" fillId="0" borderId="7" xfId="2" applyNumberFormat="1" applyFont="1" applyBorder="1" applyAlignment="1"/>
    <xf numFmtId="0" fontId="0" fillId="0" borderId="65" xfId="0" applyBorder="1"/>
    <xf numFmtId="0" fontId="0" fillId="0" borderId="54" xfId="0" applyBorder="1"/>
    <xf numFmtId="167" fontId="4" fillId="0" borderId="49" xfId="0" applyNumberFormat="1" applyFont="1" applyBorder="1" applyAlignment="1">
      <alignment horizontal="right" vertical="center" wrapText="1"/>
    </xf>
    <xf numFmtId="3" fontId="4" fillId="0" borderId="49" xfId="0" applyNumberFormat="1" applyFont="1" applyBorder="1" applyAlignment="1">
      <alignment horizontal="right" vertical="center" wrapText="1"/>
    </xf>
    <xf numFmtId="3" fontId="4" fillId="0" borderId="53" xfId="0" applyNumberFormat="1" applyFont="1" applyBorder="1" applyAlignment="1">
      <alignment horizontal="right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10" fontId="0" fillId="0" borderId="85" xfId="2" applyNumberFormat="1" applyFont="1" applyBorder="1" applyAlignment="1"/>
    <xf numFmtId="10" fontId="0" fillId="0" borderId="46" xfId="2" applyNumberFormat="1" applyFont="1" applyBorder="1" applyAlignment="1"/>
    <xf numFmtId="10" fontId="0" fillId="0" borderId="84" xfId="2" applyNumberFormat="1" applyFont="1" applyBorder="1" applyAlignment="1"/>
    <xf numFmtId="167" fontId="0" fillId="0" borderId="4" xfId="0" applyNumberFormat="1" applyBorder="1"/>
    <xf numFmtId="167" fontId="0" fillId="0" borderId="2" xfId="0" applyNumberFormat="1" applyBorder="1"/>
    <xf numFmtId="10" fontId="0" fillId="0" borderId="2" xfId="2" applyNumberFormat="1" applyFont="1" applyBorder="1" applyAlignment="1"/>
    <xf numFmtId="0" fontId="0" fillId="0" borderId="1" xfId="0" applyBorder="1" applyAlignment="1">
      <alignment horizontal="right"/>
    </xf>
    <xf numFmtId="167" fontId="4" fillId="0" borderId="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10" fontId="0" fillId="0" borderId="2" xfId="2" applyNumberFormat="1" applyFont="1" applyBorder="1" applyAlignment="1">
      <alignment horizontal="right"/>
    </xf>
    <xf numFmtId="10" fontId="0" fillId="0" borderId="7" xfId="2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3" fontId="4" fillId="0" borderId="4" xfId="0" applyNumberFormat="1" applyFont="1" applyBorder="1" applyAlignment="1">
      <alignment horizontal="right" vertical="center"/>
    </xf>
    <xf numFmtId="10" fontId="0" fillId="0" borderId="4" xfId="2" applyNumberFormat="1" applyFont="1" applyBorder="1" applyAlignment="1">
      <alignment horizontal="right"/>
    </xf>
    <xf numFmtId="10" fontId="0" fillId="0" borderId="8" xfId="2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0" fillId="0" borderId="5" xfId="0" applyBorder="1" applyAlignment="1">
      <alignment horizontal="right"/>
    </xf>
    <xf numFmtId="3" fontId="4" fillId="0" borderId="6" xfId="0" applyNumberFormat="1" applyFont="1" applyBorder="1" applyAlignment="1">
      <alignment horizontal="right" vertical="center"/>
    </xf>
    <xf numFmtId="10" fontId="0" fillId="0" borderId="6" xfId="2" applyNumberFormat="1" applyFont="1" applyBorder="1" applyAlignment="1">
      <alignment horizontal="right"/>
    </xf>
    <xf numFmtId="10" fontId="0" fillId="0" borderId="9" xfId="2" applyNumberFormat="1" applyFont="1" applyBorder="1" applyAlignment="1">
      <alignment horizontal="right"/>
    </xf>
    <xf numFmtId="0" fontId="5" fillId="2" borderId="22" xfId="0" applyFont="1" applyFill="1" applyBorder="1" applyAlignment="1">
      <alignment vertical="center" wrapText="1"/>
    </xf>
    <xf numFmtId="3" fontId="4" fillId="0" borderId="2" xfId="0" applyNumberFormat="1" applyFont="1" applyBorder="1" applyAlignment="1">
      <alignment horizontal="center"/>
    </xf>
    <xf numFmtId="10" fontId="0" fillId="0" borderId="7" xfId="0" applyNumberFormat="1" applyBorder="1"/>
    <xf numFmtId="168" fontId="7" fillId="2" borderId="25" xfId="0" applyNumberFormat="1" applyFont="1" applyFill="1" applyBorder="1" applyAlignment="1">
      <alignment horizontal="center" vertical="center" wrapText="1"/>
    </xf>
    <xf numFmtId="168" fontId="7" fillId="2" borderId="16" xfId="0" applyNumberFormat="1" applyFont="1" applyFill="1" applyBorder="1" applyAlignment="1">
      <alignment horizontal="center" vertical="center" wrapText="1"/>
    </xf>
    <xf numFmtId="168" fontId="7" fillId="2" borderId="25" xfId="0" applyNumberFormat="1" applyFont="1" applyFill="1" applyBorder="1" applyAlignment="1">
      <alignment horizontal="center" wrapText="1"/>
    </xf>
    <xf numFmtId="168" fontId="7" fillId="2" borderId="16" xfId="0" applyNumberFormat="1" applyFont="1" applyFill="1" applyBorder="1" applyAlignment="1">
      <alignment horizontal="center" wrapText="1"/>
    </xf>
    <xf numFmtId="168" fontId="7" fillId="2" borderId="77" xfId="0" applyNumberFormat="1" applyFont="1" applyFill="1" applyBorder="1" applyAlignment="1">
      <alignment horizontal="center" vertical="center" wrapText="1"/>
    </xf>
    <xf numFmtId="168" fontId="7" fillId="2" borderId="78" xfId="0" applyNumberFormat="1" applyFont="1" applyFill="1" applyBorder="1" applyAlignment="1">
      <alignment horizontal="center" vertical="center" wrapText="1"/>
    </xf>
    <xf numFmtId="3" fontId="0" fillId="0" borderId="49" xfId="0" applyNumberFormat="1" applyBorder="1"/>
    <xf numFmtId="1" fontId="0" fillId="0" borderId="24" xfId="0" applyNumberFormat="1" applyBorder="1"/>
    <xf numFmtId="0" fontId="3" fillId="0" borderId="55" xfId="0" applyFont="1" applyBorder="1" applyAlignment="1">
      <alignment horizontal="center" vertical="center" wrapText="1"/>
    </xf>
    <xf numFmtId="0" fontId="15" fillId="5" borderId="0" xfId="0" applyFont="1" applyFill="1" applyAlignment="1">
      <alignment horizontal="left" vertical="top" wrapText="1"/>
    </xf>
    <xf numFmtId="3" fontId="13" fillId="5" borderId="0" xfId="0" applyNumberFormat="1" applyFont="1" applyFill="1" applyAlignment="1">
      <alignment horizontal="right" vertical="center" wrapText="1"/>
    </xf>
    <xf numFmtId="0" fontId="15" fillId="0" borderId="0" xfId="0" applyFont="1" applyAlignment="1">
      <alignment horizontal="left" vertical="top" wrapText="1"/>
    </xf>
    <xf numFmtId="3" fontId="13" fillId="0" borderId="0" xfId="0" applyNumberFormat="1" applyFont="1" applyAlignment="1">
      <alignment horizontal="right" vertical="center" wrapText="1"/>
    </xf>
    <xf numFmtId="10" fontId="0" fillId="0" borderId="0" xfId="2" applyNumberFormat="1" applyFont="1" applyAlignment="1"/>
    <xf numFmtId="0" fontId="15" fillId="54" borderId="4" xfId="0" applyFont="1" applyFill="1" applyBorder="1" applyAlignment="1">
      <alignment horizontal="left" vertical="top" wrapText="1"/>
    </xf>
    <xf numFmtId="0" fontId="3" fillId="54" borderId="25" xfId="54" applyFont="1" applyFill="1" applyBorder="1" applyAlignment="1">
      <alignment horizontal="center" vertical="center" wrapText="1"/>
    </xf>
    <xf numFmtId="4" fontId="45" fillId="54" borderId="16" xfId="54" applyNumberFormat="1" applyFont="1" applyFill="1" applyBorder="1" applyAlignment="1">
      <alignment horizontal="center" vertical="center" wrapText="1"/>
    </xf>
    <xf numFmtId="0" fontId="3" fillId="2" borderId="25" xfId="54" applyFont="1" applyFill="1" applyBorder="1" applyAlignment="1">
      <alignment horizontal="center" vertical="center" wrapText="1"/>
    </xf>
    <xf numFmtId="4" fontId="46" fillId="2" borderId="16" xfId="54" applyNumberFormat="1" applyFont="1" applyFill="1" applyBorder="1" applyAlignment="1">
      <alignment horizontal="center" vertical="center" wrapText="1"/>
    </xf>
    <xf numFmtId="4" fontId="46" fillId="54" borderId="16" xfId="54" applyNumberFormat="1" applyFont="1" applyFill="1" applyBorder="1" applyAlignment="1">
      <alignment horizontal="center" vertical="center" wrapText="1"/>
    </xf>
    <xf numFmtId="4" fontId="45" fillId="2" borderId="16" xfId="54" applyNumberFormat="1" applyFont="1" applyFill="1" applyBorder="1" applyAlignment="1">
      <alignment horizontal="center" vertical="center" wrapText="1"/>
    </xf>
    <xf numFmtId="0" fontId="3" fillId="2" borderId="26" xfId="54" applyFont="1" applyFill="1" applyBorder="1" applyAlignment="1">
      <alignment horizontal="center" vertical="center" wrapText="1"/>
    </xf>
    <xf numFmtId="4" fontId="46" fillId="2" borderId="18" xfId="54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top" wrapText="1"/>
    </xf>
    <xf numFmtId="3" fontId="13" fillId="54" borderId="4" xfId="0" applyNumberFormat="1" applyFont="1" applyFill="1" applyBorder="1" applyAlignment="1">
      <alignment horizontal="right" vertical="center" wrapText="1"/>
    </xf>
    <xf numFmtId="0" fontId="47" fillId="54" borderId="4" xfId="0" applyFont="1" applyFill="1" applyBorder="1" applyAlignment="1">
      <alignment horizontal="left" vertical="top" wrapText="1"/>
    </xf>
    <xf numFmtId="0" fontId="47" fillId="2" borderId="4" xfId="0" applyFont="1" applyFill="1" applyBorder="1" applyAlignment="1">
      <alignment horizontal="left" vertical="top" wrapText="1"/>
    </xf>
    <xf numFmtId="3" fontId="48" fillId="2" borderId="4" xfId="0" applyNumberFormat="1" applyFont="1" applyFill="1" applyBorder="1" applyAlignment="1">
      <alignment horizontal="right" vertical="center" wrapText="1"/>
    </xf>
    <xf numFmtId="3" fontId="48" fillId="54" borderId="4" xfId="0" applyNumberFormat="1" applyFont="1" applyFill="1" applyBorder="1" applyAlignment="1">
      <alignment horizontal="right" vertical="center" wrapText="1"/>
    </xf>
    <xf numFmtId="0" fontId="47" fillId="0" borderId="4" xfId="0" applyFont="1" applyBorder="1" applyAlignment="1">
      <alignment horizontal="left" vertical="top" wrapText="1"/>
    </xf>
    <xf numFmtId="0" fontId="3" fillId="54" borderId="4" xfId="0" applyFont="1" applyFill="1" applyBorder="1" applyAlignment="1">
      <alignment horizontal="center"/>
    </xf>
    <xf numFmtId="0" fontId="49" fillId="54" borderId="4" xfId="0" applyFont="1" applyFill="1" applyBorder="1" applyAlignment="1">
      <alignment horizontal="center" vertical="top"/>
    </xf>
    <xf numFmtId="0" fontId="49" fillId="54" borderId="4" xfId="0" applyFont="1" applyFill="1" applyBorder="1" applyAlignment="1">
      <alignment horizontal="center" vertical="center"/>
    </xf>
    <xf numFmtId="0" fontId="3" fillId="54" borderId="4" xfId="0" applyFont="1" applyFill="1" applyBorder="1" applyAlignment="1">
      <alignment horizontal="center" vertical="center"/>
    </xf>
    <xf numFmtId="0" fontId="49" fillId="54" borderId="4" xfId="0" applyFont="1" applyFill="1" applyBorder="1" applyAlignment="1">
      <alignment horizontal="center" vertical="center" wrapText="1"/>
    </xf>
    <xf numFmtId="0" fontId="47" fillId="54" borderId="47" xfId="0" applyFont="1" applyFill="1" applyBorder="1" applyAlignment="1">
      <alignment horizontal="left" vertical="top" wrapText="1"/>
    </xf>
    <xf numFmtId="0" fontId="47" fillId="5" borderId="4" xfId="0" applyFont="1" applyFill="1" applyBorder="1" applyAlignment="1">
      <alignment horizontal="left" vertical="top" wrapText="1"/>
    </xf>
    <xf numFmtId="3" fontId="48" fillId="0" borderId="4" xfId="0" applyNumberFormat="1" applyFont="1" applyBorder="1" applyAlignment="1">
      <alignment horizontal="right" vertical="center" wrapText="1"/>
    </xf>
    <xf numFmtId="0" fontId="47" fillId="2" borderId="47" xfId="0" applyFont="1" applyFill="1" applyBorder="1" applyAlignment="1">
      <alignment horizontal="left" vertical="top" wrapText="1"/>
    </xf>
    <xf numFmtId="10" fontId="1" fillId="0" borderId="4" xfId="2" applyNumberFormat="1" applyFont="1" applyBorder="1" applyAlignment="1"/>
    <xf numFmtId="0" fontId="50" fillId="0" borderId="1" xfId="0" applyFont="1" applyBorder="1" applyAlignment="1">
      <alignment horizontal="center" vertical="center"/>
    </xf>
    <xf numFmtId="0" fontId="51" fillId="0" borderId="82" xfId="0" applyFont="1" applyBorder="1" applyAlignment="1">
      <alignment horizontal="center" vertical="center"/>
    </xf>
    <xf numFmtId="0" fontId="51" fillId="0" borderId="70" xfId="0" applyFont="1" applyBorder="1" applyAlignment="1">
      <alignment horizontal="center" vertical="center"/>
    </xf>
    <xf numFmtId="0" fontId="51" fillId="0" borderId="7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51" fillId="0" borderId="3" xfId="0" applyFont="1" applyBorder="1" applyAlignment="1">
      <alignment horizontal="center" wrapText="1"/>
    </xf>
    <xf numFmtId="0" fontId="51" fillId="0" borderId="5" xfId="0" applyFont="1" applyBorder="1" applyAlignment="1">
      <alignment horizontal="center" wrapText="1"/>
    </xf>
    <xf numFmtId="0" fontId="3" fillId="0" borderId="66" xfId="0" applyFont="1" applyBorder="1" applyAlignment="1">
      <alignment horizontal="center" vertical="center" wrapText="1"/>
    </xf>
    <xf numFmtId="10" fontId="0" fillId="0" borderId="48" xfId="2" applyNumberFormat="1" applyFont="1" applyBorder="1" applyAlignment="1"/>
    <xf numFmtId="0" fontId="3" fillId="0" borderId="25" xfId="0" applyFont="1" applyBorder="1" applyAlignment="1">
      <alignment horizontal="center" vertical="center" wrapText="1"/>
    </xf>
    <xf numFmtId="10" fontId="0" fillId="0" borderId="47" xfId="2" applyNumberFormat="1" applyFont="1" applyBorder="1" applyAlignment="1"/>
    <xf numFmtId="0" fontId="3" fillId="0" borderId="17" xfId="0" applyFont="1" applyBorder="1" applyAlignment="1">
      <alignment vertical="center"/>
    </xf>
    <xf numFmtId="10" fontId="0" fillId="0" borderId="1" xfId="2" applyNumberFormat="1" applyFont="1" applyBorder="1" applyAlignment="1"/>
    <xf numFmtId="0" fontId="0" fillId="0" borderId="28" xfId="0" applyBorder="1"/>
    <xf numFmtId="10" fontId="0" fillId="0" borderId="25" xfId="0" applyNumberFormat="1" applyBorder="1"/>
    <xf numFmtId="10" fontId="0" fillId="0" borderId="21" xfId="0" applyNumberFormat="1" applyBorder="1"/>
    <xf numFmtId="0" fontId="3" fillId="0" borderId="29" xfId="0" applyFont="1" applyBorder="1"/>
    <xf numFmtId="0" fontId="0" fillId="0" borderId="22" xfId="0" applyBorder="1"/>
    <xf numFmtId="3" fontId="0" fillId="0" borderId="49" xfId="0" applyNumberForma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5" fillId="54" borderId="25" xfId="0" applyFont="1" applyFill="1" applyBorder="1" applyAlignment="1">
      <alignment horizontal="center" vertical="center" wrapText="1"/>
    </xf>
    <xf numFmtId="3" fontId="0" fillId="0" borderId="54" xfId="0" applyNumberFormat="1" applyBorder="1" applyAlignment="1">
      <alignment horizontal="center"/>
    </xf>
    <xf numFmtId="0" fontId="15" fillId="54" borderId="25" xfId="0" applyFont="1" applyFill="1" applyBorder="1" applyAlignment="1">
      <alignment horizontal="center" vertical="top" wrapText="1"/>
    </xf>
    <xf numFmtId="0" fontId="47" fillId="54" borderId="3" xfId="0" applyFont="1" applyFill="1" applyBorder="1" applyAlignment="1">
      <alignment horizontal="left" vertical="top" wrapText="1"/>
    </xf>
    <xf numFmtId="3" fontId="0" fillId="0" borderId="91" xfId="0" applyNumberFormat="1" applyBorder="1" applyAlignment="1">
      <alignment horizontal="center"/>
    </xf>
    <xf numFmtId="10" fontId="1" fillId="0" borderId="46" xfId="2" applyNumberFormat="1" applyFont="1" applyBorder="1" applyAlignment="1"/>
    <xf numFmtId="0" fontId="47" fillId="0" borderId="47" xfId="0" applyFont="1" applyBorder="1" applyAlignment="1">
      <alignment horizontal="left" vertical="top" wrapText="1"/>
    </xf>
    <xf numFmtId="0" fontId="47" fillId="54" borderId="10" xfId="0" applyFont="1" applyFill="1" applyBorder="1" applyAlignment="1">
      <alignment horizontal="left" vertical="top" wrapText="1"/>
    </xf>
    <xf numFmtId="10" fontId="1" fillId="0" borderId="48" xfId="2" applyNumberFormat="1" applyFont="1" applyBorder="1" applyAlignment="1"/>
    <xf numFmtId="10" fontId="1" fillId="0" borderId="84" xfId="2" applyNumberFormat="1" applyFont="1" applyBorder="1" applyAlignment="1"/>
    <xf numFmtId="0" fontId="11" fillId="0" borderId="4" xfId="54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2" borderId="21" xfId="0" applyFont="1" applyFill="1" applyBorder="1" applyAlignment="1">
      <alignment horizontal="center" vertical="center" wrapText="1"/>
    </xf>
    <xf numFmtId="0" fontId="38" fillId="2" borderId="28" xfId="0" applyFont="1" applyFill="1" applyBorder="1" applyAlignment="1">
      <alignment horizontal="center" vertical="center" wrapText="1"/>
    </xf>
    <xf numFmtId="0" fontId="38" fillId="2" borderId="22" xfId="0" applyFont="1" applyFill="1" applyBorder="1" applyAlignment="1">
      <alignment horizontal="center" vertical="center" wrapText="1"/>
    </xf>
    <xf numFmtId="0" fontId="38" fillId="2" borderId="15" xfId="0" applyFont="1" applyFill="1" applyBorder="1" applyAlignment="1">
      <alignment horizontal="center" vertical="center" wrapText="1"/>
    </xf>
    <xf numFmtId="0" fontId="38" fillId="2" borderId="0" xfId="0" applyFont="1" applyFill="1" applyAlignment="1">
      <alignment horizontal="center" vertical="center" wrapText="1"/>
    </xf>
    <xf numFmtId="0" fontId="38" fillId="2" borderId="17" xfId="0" applyFont="1" applyFill="1" applyBorder="1" applyAlignment="1">
      <alignment horizontal="center" vertical="center" wrapText="1"/>
    </xf>
    <xf numFmtId="0" fontId="38" fillId="2" borderId="19" xfId="0" applyFont="1" applyFill="1" applyBorder="1" applyAlignment="1">
      <alignment horizontal="center" vertical="center" wrapText="1"/>
    </xf>
    <xf numFmtId="0" fontId="38" fillId="2" borderId="14" xfId="0" applyFont="1" applyFill="1" applyBorder="1" applyAlignment="1">
      <alignment horizontal="center" vertical="center" wrapText="1"/>
    </xf>
    <xf numFmtId="0" fontId="38" fillId="2" borderId="18" xfId="0" applyFont="1" applyFill="1" applyBorder="1" applyAlignment="1">
      <alignment horizontal="center" vertical="center" wrapText="1"/>
    </xf>
    <xf numFmtId="0" fontId="11" fillId="0" borderId="4" xfId="54" applyFont="1" applyBorder="1" applyAlignment="1">
      <alignment horizontal="center" vertical="top" wrapText="1"/>
    </xf>
    <xf numFmtId="0" fontId="11" fillId="0" borderId="4" xfId="54" applyFont="1" applyBorder="1" applyAlignment="1">
      <alignment horizontal="left" vertical="top" wrapText="1"/>
    </xf>
    <xf numFmtId="0" fontId="15" fillId="0" borderId="4" xfId="0" applyFont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4" fontId="0" fillId="0" borderId="51" xfId="0" applyNumberFormat="1" applyBorder="1" applyAlignment="1">
      <alignment horizontal="center" vertical="center"/>
    </xf>
    <xf numFmtId="4" fontId="0" fillId="0" borderId="52" xfId="0" applyNumberFormat="1" applyBorder="1" applyAlignment="1">
      <alignment horizontal="center" vertical="center"/>
    </xf>
    <xf numFmtId="4" fontId="0" fillId="0" borderId="53" xfId="0" applyNumberFormat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 wrapText="1"/>
    </xf>
    <xf numFmtId="0" fontId="42" fillId="2" borderId="7" xfId="0" applyFont="1" applyFill="1" applyBorder="1" applyAlignment="1">
      <alignment horizontal="center" vertical="center" wrapText="1"/>
    </xf>
    <xf numFmtId="0" fontId="42" fillId="2" borderId="5" xfId="0" applyFont="1" applyFill="1" applyBorder="1" applyAlignment="1">
      <alignment horizontal="center" vertical="center" wrapText="1"/>
    </xf>
    <xf numFmtId="0" fontId="42" fillId="2" borderId="6" xfId="0" applyFont="1" applyFill="1" applyBorder="1" applyAlignment="1">
      <alignment horizontal="center" vertical="center" wrapText="1"/>
    </xf>
    <xf numFmtId="0" fontId="42" fillId="2" borderId="9" xfId="0" applyFont="1" applyFill="1" applyBorder="1" applyAlignment="1">
      <alignment horizontal="center" vertical="center" wrapText="1"/>
    </xf>
    <xf numFmtId="0" fontId="11" fillId="0" borderId="1" xfId="52" applyFont="1" applyBorder="1" applyAlignment="1">
      <alignment horizontal="center" vertical="center" wrapText="1"/>
    </xf>
    <xf numFmtId="0" fontId="11" fillId="0" borderId="3" xfId="52" applyFont="1" applyBorder="1" applyAlignment="1">
      <alignment horizontal="center" vertical="center" wrapText="1"/>
    </xf>
    <xf numFmtId="0" fontId="11" fillId="0" borderId="5" xfId="52" applyFont="1" applyBorder="1" applyAlignment="1">
      <alignment horizontal="center" vertical="center" wrapText="1"/>
    </xf>
    <xf numFmtId="0" fontId="11" fillId="0" borderId="2" xfId="52" applyFont="1" applyBorder="1" applyAlignment="1">
      <alignment horizontal="left" vertical="top" wrapText="1"/>
    </xf>
    <xf numFmtId="0" fontId="11" fillId="0" borderId="4" xfId="52" applyFont="1" applyBorder="1" applyAlignment="1">
      <alignment horizontal="left" vertical="top" wrapText="1"/>
    </xf>
    <xf numFmtId="0" fontId="11" fillId="0" borderId="6" xfId="52" applyFont="1" applyBorder="1" applyAlignment="1">
      <alignment horizontal="left" vertical="top" wrapText="1"/>
    </xf>
    <xf numFmtId="0" fontId="11" fillId="0" borderId="2" xfId="52" applyFont="1" applyBorder="1" applyAlignment="1">
      <alignment horizontal="center" vertical="top" wrapText="1"/>
    </xf>
    <xf numFmtId="0" fontId="11" fillId="0" borderId="4" xfId="52" applyFont="1" applyBorder="1" applyAlignment="1">
      <alignment horizontal="center" vertical="top" wrapText="1"/>
    </xf>
    <xf numFmtId="0" fontId="11" fillId="0" borderId="6" xfId="52" applyFont="1" applyBorder="1" applyAlignment="1">
      <alignment horizontal="center" vertical="top" wrapText="1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" fontId="0" fillId="0" borderId="8" xfId="0" applyNumberFormat="1" applyBorder="1" applyAlignment="1">
      <alignment horizontal="center" vertical="center" wrapText="1"/>
    </xf>
    <xf numFmtId="4" fontId="0" fillId="0" borderId="17" xfId="0" applyNumberFormat="1" applyBorder="1" applyAlignment="1">
      <alignment horizontal="center" vertical="center" wrapText="1"/>
    </xf>
    <xf numFmtId="4" fontId="0" fillId="0" borderId="18" xfId="0" applyNumberForma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7" fillId="54" borderId="4" xfId="0" applyFont="1" applyFill="1" applyBorder="1" applyAlignment="1">
      <alignment horizontal="center" vertical="center"/>
    </xf>
    <xf numFmtId="0" fontId="3" fillId="54" borderId="86" xfId="0" applyFont="1" applyFill="1" applyBorder="1" applyAlignment="1">
      <alignment horizontal="center" vertical="center" wrapText="1"/>
    </xf>
    <xf numFmtId="0" fontId="3" fillId="54" borderId="0" xfId="0" applyFont="1" applyFill="1" applyAlignment="1">
      <alignment horizontal="center" vertical="center" wrapText="1"/>
    </xf>
    <xf numFmtId="0" fontId="3" fillId="54" borderId="87" xfId="0" applyFont="1" applyFill="1" applyBorder="1" applyAlignment="1">
      <alignment horizontal="center" vertical="center" wrapText="1"/>
    </xf>
    <xf numFmtId="0" fontId="3" fillId="54" borderId="4" xfId="0" applyFont="1" applyFill="1" applyBorder="1" applyAlignment="1">
      <alignment horizontal="center" vertical="center" wrapText="1"/>
    </xf>
    <xf numFmtId="0" fontId="36" fillId="2" borderId="21" xfId="0" applyFont="1" applyFill="1" applyBorder="1" applyAlignment="1">
      <alignment horizontal="left" vertical="top" wrapText="1"/>
    </xf>
    <xf numFmtId="0" fontId="36" fillId="2" borderId="22" xfId="0" applyFont="1" applyFill="1" applyBorder="1" applyAlignment="1">
      <alignment horizontal="left" vertical="top" wrapText="1"/>
    </xf>
    <xf numFmtId="0" fontId="36" fillId="2" borderId="19" xfId="0" applyFont="1" applyFill="1" applyBorder="1" applyAlignment="1">
      <alignment horizontal="left" vertical="top" wrapText="1"/>
    </xf>
    <xf numFmtId="0" fontId="36" fillId="2" borderId="18" xfId="0" applyFont="1" applyFill="1" applyBorder="1" applyAlignment="1">
      <alignment horizontal="left" vertical="top" wrapText="1"/>
    </xf>
    <xf numFmtId="0" fontId="49" fillId="54" borderId="4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/>
    </xf>
    <xf numFmtId="0" fontId="15" fillId="0" borderId="50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47" fillId="54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3" fontId="10" fillId="3" borderId="2" xfId="0" applyNumberFormat="1" applyFont="1" applyFill="1" applyBorder="1" applyAlignment="1">
      <alignment horizontal="center" vertical="center" wrapText="1"/>
    </xf>
    <xf numFmtId="3" fontId="10" fillId="3" borderId="4" xfId="0" applyNumberFormat="1" applyFont="1" applyFill="1" applyBorder="1" applyAlignment="1">
      <alignment horizontal="center" vertical="center" wrapText="1"/>
    </xf>
    <xf numFmtId="3" fontId="10" fillId="3" borderId="7" xfId="0" applyNumberFormat="1" applyFont="1" applyFill="1" applyBorder="1" applyAlignment="1">
      <alignment horizontal="center" vertical="center" wrapText="1"/>
    </xf>
    <xf numFmtId="3" fontId="10" fillId="3" borderId="8" xfId="0" applyNumberFormat="1" applyFont="1" applyFill="1" applyBorder="1" applyAlignment="1">
      <alignment horizontal="center" vertical="center" wrapText="1"/>
    </xf>
    <xf numFmtId="3" fontId="9" fillId="3" borderId="2" xfId="0" applyNumberFormat="1" applyFont="1" applyFill="1" applyBorder="1" applyAlignment="1">
      <alignment horizontal="center" vertical="center" wrapText="1"/>
    </xf>
    <xf numFmtId="3" fontId="9" fillId="3" borderId="7" xfId="0" applyNumberFormat="1" applyFont="1" applyFill="1" applyBorder="1" applyAlignment="1">
      <alignment horizontal="center" vertical="center" wrapText="1"/>
    </xf>
    <xf numFmtId="3" fontId="9" fillId="3" borderId="21" xfId="0" applyNumberFormat="1" applyFont="1" applyFill="1" applyBorder="1" applyAlignment="1">
      <alignment horizontal="left" vertical="center" wrapText="1"/>
    </xf>
    <xf numFmtId="3" fontId="9" fillId="3" borderId="60" xfId="0" applyNumberFormat="1" applyFont="1" applyFill="1" applyBorder="1" applyAlignment="1">
      <alignment horizontal="left" vertical="center" wrapText="1"/>
    </xf>
    <xf numFmtId="3" fontId="9" fillId="3" borderId="4" xfId="0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9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8" fillId="2" borderId="73" xfId="0" applyFont="1" applyFill="1" applyBorder="1" applyAlignment="1">
      <alignment horizontal="center" vertical="center" wrapText="1"/>
    </xf>
    <xf numFmtId="0" fontId="8" fillId="2" borderId="75" xfId="0" applyFont="1" applyFill="1" applyBorder="1" applyAlignment="1">
      <alignment horizontal="center" vertical="center" wrapText="1"/>
    </xf>
    <xf numFmtId="2" fontId="0" fillId="0" borderId="22" xfId="0" applyNumberFormat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8" fillId="2" borderId="76" xfId="0" applyFont="1" applyFill="1" applyBorder="1" applyAlignment="1">
      <alignment horizontal="center" vertical="center" wrapText="1"/>
    </xf>
    <xf numFmtId="0" fontId="8" fillId="2" borderId="77" xfId="0" applyFont="1" applyFill="1" applyBorder="1" applyAlignment="1">
      <alignment horizontal="center" vertical="center" wrapText="1"/>
    </xf>
    <xf numFmtId="0" fontId="8" fillId="2" borderId="7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8" fillId="0" borderId="73" xfId="0" applyFont="1" applyBorder="1" applyAlignment="1">
      <alignment horizontal="left" vertical="top" wrapText="1"/>
    </xf>
    <xf numFmtId="0" fontId="8" fillId="0" borderId="74" xfId="0" applyFont="1" applyBorder="1" applyAlignment="1">
      <alignment horizontal="left" vertical="top" wrapText="1"/>
    </xf>
    <xf numFmtId="0" fontId="8" fillId="0" borderId="7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2" fontId="0" fillId="0" borderId="46" xfId="0" applyNumberFormat="1" applyBorder="1" applyAlignment="1">
      <alignment horizontal="center" vertical="center"/>
    </xf>
    <xf numFmtId="2" fontId="0" fillId="0" borderId="88" xfId="0" applyNumberFormat="1" applyBorder="1" applyAlignment="1">
      <alignment horizontal="center" vertical="center"/>
    </xf>
    <xf numFmtId="2" fontId="0" fillId="0" borderId="85" xfId="1" applyNumberFormat="1" applyFont="1" applyBorder="1" applyAlignment="1">
      <alignment horizontal="center" vertical="center"/>
    </xf>
    <xf numFmtId="2" fontId="0" fillId="0" borderId="89" xfId="1" applyNumberFormat="1" applyFont="1" applyBorder="1" applyAlignment="1">
      <alignment horizontal="center" vertical="center"/>
    </xf>
    <xf numFmtId="2" fontId="0" fillId="0" borderId="84" xfId="0" applyNumberFormat="1" applyBorder="1" applyAlignment="1">
      <alignment horizontal="center" vertical="center"/>
    </xf>
    <xf numFmtId="2" fontId="0" fillId="0" borderId="90" xfId="0" applyNumberFormat="1" applyBorder="1" applyAlignment="1">
      <alignment horizontal="center" vertical="center"/>
    </xf>
    <xf numFmtId="0" fontId="8" fillId="0" borderId="27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9" fillId="2" borderId="11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39" fillId="2" borderId="12" xfId="0" applyFont="1" applyFill="1" applyBorder="1" applyAlignment="1">
      <alignment horizontal="center" vertical="center" wrapText="1"/>
    </xf>
    <xf numFmtId="0" fontId="39" fillId="2" borderId="16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9" fillId="2" borderId="21" xfId="0" applyFont="1" applyFill="1" applyBorder="1" applyAlignment="1">
      <alignment horizontal="center" vertical="center" wrapText="1"/>
    </xf>
    <xf numFmtId="0" fontId="41" fillId="2" borderId="21" xfId="0" applyFont="1" applyFill="1" applyBorder="1" applyAlignment="1">
      <alignment horizontal="center" vertical="center" wrapText="1"/>
    </xf>
    <xf numFmtId="0" fontId="41" fillId="2" borderId="22" xfId="0" applyFont="1" applyFill="1" applyBorder="1" applyAlignment="1">
      <alignment horizontal="center" vertical="center" wrapText="1"/>
    </xf>
    <xf numFmtId="0" fontId="41" fillId="2" borderId="15" xfId="0" applyFont="1" applyFill="1" applyBorder="1" applyAlignment="1">
      <alignment horizontal="center" vertical="center" wrapText="1"/>
    </xf>
    <xf numFmtId="0" fontId="41" fillId="2" borderId="17" xfId="0" applyFont="1" applyFill="1" applyBorder="1" applyAlignment="1">
      <alignment horizontal="center" vertical="center" wrapText="1"/>
    </xf>
    <xf numFmtId="0" fontId="41" fillId="2" borderId="19" xfId="0" applyFont="1" applyFill="1" applyBorder="1" applyAlignment="1">
      <alignment horizontal="center" vertical="center" wrapText="1"/>
    </xf>
    <xf numFmtId="0" fontId="41" fillId="2" borderId="18" xfId="0" applyFont="1" applyFill="1" applyBorder="1" applyAlignment="1">
      <alignment horizontal="center" vertical="center" wrapText="1"/>
    </xf>
    <xf numFmtId="0" fontId="47" fillId="54" borderId="5" xfId="0" applyFont="1" applyFill="1" applyBorder="1" applyAlignment="1">
      <alignment horizontal="left" vertical="top" wrapText="1"/>
    </xf>
    <xf numFmtId="10" fontId="0" fillId="0" borderId="93" xfId="2" applyNumberFormat="1" applyFont="1" applyBorder="1" applyAlignment="1"/>
    <xf numFmtId="3" fontId="0" fillId="0" borderId="7" xfId="0" applyNumberFormat="1" applyBorder="1" applyAlignment="1">
      <alignment horizontal="center" wrapText="1"/>
    </xf>
    <xf numFmtId="0" fontId="15" fillId="0" borderId="6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92" xfId="0" applyFon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0" fontId="47" fillId="54" borderId="1" xfId="0" applyFont="1" applyFill="1" applyBorder="1" applyAlignment="1">
      <alignment horizontal="left" vertical="top" wrapText="1"/>
    </xf>
    <xf numFmtId="0" fontId="15" fillId="54" borderId="94" xfId="0" applyFont="1" applyFill="1" applyBorder="1" applyAlignment="1">
      <alignment horizontal="center" vertical="top" wrapText="1"/>
    </xf>
    <xf numFmtId="0" fontId="15" fillId="54" borderId="55" xfId="0" applyFont="1" applyFill="1" applyBorder="1" applyAlignment="1">
      <alignment horizontal="center" vertical="top" wrapText="1"/>
    </xf>
    <xf numFmtId="0" fontId="36" fillId="2" borderId="21" xfId="0" applyFont="1" applyFill="1" applyBorder="1" applyAlignment="1">
      <alignment horizontal="left" vertical="center" wrapText="1"/>
    </xf>
    <xf numFmtId="0" fontId="36" fillId="2" borderId="22" xfId="0" applyFont="1" applyFill="1" applyBorder="1" applyAlignment="1">
      <alignment horizontal="left" vertical="center" wrapText="1"/>
    </xf>
    <xf numFmtId="0" fontId="36" fillId="2" borderId="19" xfId="0" applyFont="1" applyFill="1" applyBorder="1" applyAlignment="1">
      <alignment horizontal="left" vertical="center" wrapText="1"/>
    </xf>
    <xf numFmtId="0" fontId="36" fillId="2" borderId="18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/>
    </xf>
    <xf numFmtId="0" fontId="39" fillId="2" borderId="0" xfId="0" applyFont="1" applyFill="1" applyBorder="1" applyAlignment="1">
      <alignment horizontal="center" vertical="center" wrapText="1"/>
    </xf>
    <xf numFmtId="0" fontId="39" fillId="2" borderId="28" xfId="0" applyFont="1" applyFill="1" applyBorder="1" applyAlignment="1">
      <alignment horizontal="center" vertical="center" wrapText="1"/>
    </xf>
    <xf numFmtId="0" fontId="39" fillId="2" borderId="22" xfId="0" applyFont="1" applyFill="1" applyBorder="1" applyAlignment="1">
      <alignment horizontal="center" vertical="center" wrapText="1"/>
    </xf>
    <xf numFmtId="0" fontId="39" fillId="2" borderId="15" xfId="0" applyFont="1" applyFill="1" applyBorder="1" applyAlignment="1">
      <alignment horizontal="center" vertical="center" wrapText="1"/>
    </xf>
    <xf numFmtId="0" fontId="39" fillId="2" borderId="17" xfId="0" applyFont="1" applyFill="1" applyBorder="1" applyAlignment="1">
      <alignment horizontal="center" vertical="center" wrapText="1"/>
    </xf>
    <xf numFmtId="0" fontId="39" fillId="2" borderId="19" xfId="0" applyFont="1" applyFill="1" applyBorder="1" applyAlignment="1">
      <alignment horizontal="center" vertical="center" wrapText="1"/>
    </xf>
    <xf numFmtId="0" fontId="39" fillId="2" borderId="14" xfId="0" applyFont="1" applyFill="1" applyBorder="1" applyAlignment="1">
      <alignment horizontal="center" vertical="center" wrapText="1"/>
    </xf>
    <xf numFmtId="0" fontId="39" fillId="2" borderId="18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/>
    </xf>
  </cellXfs>
  <cellStyles count="69">
    <cellStyle name="20% - Énfasis1 2" xfId="3" xr:uid="{00000000-0005-0000-0000-000031000000}"/>
    <cellStyle name="20% - Énfasis2 2" xfId="4" xr:uid="{00000000-0005-0000-0000-000032000000}"/>
    <cellStyle name="20% - Énfasis3 2" xfId="5" xr:uid="{00000000-0005-0000-0000-000033000000}"/>
    <cellStyle name="20% - Énfasis4 2" xfId="6" xr:uid="{00000000-0005-0000-0000-000034000000}"/>
    <cellStyle name="20% - Énfasis5 2" xfId="7" xr:uid="{00000000-0005-0000-0000-000035000000}"/>
    <cellStyle name="20% - Énfasis6 2" xfId="8" xr:uid="{00000000-0005-0000-0000-000036000000}"/>
    <cellStyle name="40% - Énfasis1 2" xfId="9" xr:uid="{00000000-0005-0000-0000-000037000000}"/>
    <cellStyle name="40% - Énfasis2 2" xfId="10" xr:uid="{00000000-0005-0000-0000-000038000000}"/>
    <cellStyle name="40% - Énfasis3 2" xfId="11" xr:uid="{00000000-0005-0000-0000-000039000000}"/>
    <cellStyle name="40% - Énfasis4 2" xfId="12" xr:uid="{00000000-0005-0000-0000-00003A000000}"/>
    <cellStyle name="40% - Énfasis5 2" xfId="13" xr:uid="{00000000-0005-0000-0000-00003B000000}"/>
    <cellStyle name="40% - Énfasis6 2" xfId="14" xr:uid="{00000000-0005-0000-0000-00003C000000}"/>
    <cellStyle name="60% - Énfasis1 2" xfId="15" xr:uid="{00000000-0005-0000-0000-00003D000000}"/>
    <cellStyle name="60% - Énfasis1 3" xfId="16" xr:uid="{00000000-0005-0000-0000-00003E000000}"/>
    <cellStyle name="60% - Énfasis2 2" xfId="17" xr:uid="{00000000-0005-0000-0000-00003F000000}"/>
    <cellStyle name="60% - Énfasis2 3" xfId="18" xr:uid="{00000000-0005-0000-0000-000040000000}"/>
    <cellStyle name="60% - Énfasis3 2" xfId="19" xr:uid="{00000000-0005-0000-0000-000041000000}"/>
    <cellStyle name="60% - Énfasis3 3" xfId="20" xr:uid="{00000000-0005-0000-0000-000042000000}"/>
    <cellStyle name="60% - Énfasis4 2" xfId="21" xr:uid="{00000000-0005-0000-0000-000043000000}"/>
    <cellStyle name="60% - Énfasis4 3" xfId="22" xr:uid="{00000000-0005-0000-0000-000044000000}"/>
    <cellStyle name="60% - Énfasis5 2" xfId="23" xr:uid="{00000000-0005-0000-0000-000045000000}"/>
    <cellStyle name="60% - Énfasis5 3" xfId="24" xr:uid="{00000000-0005-0000-0000-000046000000}"/>
    <cellStyle name="60% - Énfasis6 2" xfId="25" xr:uid="{00000000-0005-0000-0000-000047000000}"/>
    <cellStyle name="60% - Énfasis6 3" xfId="26" xr:uid="{00000000-0005-0000-0000-000048000000}"/>
    <cellStyle name="Cálculo 2" xfId="27" xr:uid="{00000000-0005-0000-0000-000049000000}"/>
    <cellStyle name="Cálculo 3" xfId="28" xr:uid="{00000000-0005-0000-0000-00004A000000}"/>
    <cellStyle name="Celda de comprobación 2" xfId="29" xr:uid="{00000000-0005-0000-0000-00004B000000}"/>
    <cellStyle name="Celda vinculada 2" xfId="30" xr:uid="{00000000-0005-0000-0000-00004C000000}"/>
    <cellStyle name="Encabezado 4 2" xfId="31" xr:uid="{00000000-0005-0000-0000-00004D000000}"/>
    <cellStyle name="Énfasis1 2" xfId="32" xr:uid="{00000000-0005-0000-0000-00004E000000}"/>
    <cellStyle name="Énfasis2 2" xfId="33" xr:uid="{00000000-0005-0000-0000-00004F000000}"/>
    <cellStyle name="Énfasis3 2" xfId="34" xr:uid="{00000000-0005-0000-0000-000050000000}"/>
    <cellStyle name="Énfasis4 2" xfId="35" xr:uid="{00000000-0005-0000-0000-000051000000}"/>
    <cellStyle name="Énfasis5 2" xfId="36" xr:uid="{00000000-0005-0000-0000-000052000000}"/>
    <cellStyle name="Énfasis6 2" xfId="37" xr:uid="{00000000-0005-0000-0000-000053000000}"/>
    <cellStyle name="Entrada 2" xfId="38" xr:uid="{00000000-0005-0000-0000-000054000000}"/>
    <cellStyle name="Euro" xfId="39" xr:uid="{00000000-0005-0000-0000-000055000000}"/>
    <cellStyle name="Euro 2" xfId="40" xr:uid="{00000000-0005-0000-0000-000056000000}"/>
    <cellStyle name="Hipervínculo 2" xfId="41" xr:uid="{00000000-0005-0000-0000-000057000000}"/>
    <cellStyle name="Hipervínculo 3" xfId="42" xr:uid="{00000000-0005-0000-0000-000058000000}"/>
    <cellStyle name="Hipervínculo 4" xfId="43" xr:uid="{00000000-0005-0000-0000-000059000000}"/>
    <cellStyle name="Hipervínculo visitado 2" xfId="44" xr:uid="{00000000-0005-0000-0000-00005A000000}"/>
    <cellStyle name="Incorrecto 2" xfId="45" xr:uid="{00000000-0005-0000-0000-00005B000000}"/>
    <cellStyle name="Millares" xfId="1" builtinId="3"/>
    <cellStyle name="Millares 2" xfId="46" xr:uid="{00000000-0005-0000-0000-00005C000000}"/>
    <cellStyle name="Millares 3" xfId="47" xr:uid="{00000000-0005-0000-0000-00005D000000}"/>
    <cellStyle name="Millares 4" xfId="48" xr:uid="{00000000-0005-0000-0000-00005E000000}"/>
    <cellStyle name="Neutral 2" xfId="49" xr:uid="{00000000-0005-0000-0000-00005F000000}"/>
    <cellStyle name="Neutral 3" xfId="50" xr:uid="{00000000-0005-0000-0000-000060000000}"/>
    <cellStyle name="Normal" xfId="0" builtinId="0"/>
    <cellStyle name="Normal 2" xfId="51" xr:uid="{00000000-0005-0000-0000-000061000000}"/>
    <cellStyle name="Normal 2 2" xfId="52" xr:uid="{00000000-0005-0000-0000-000062000000}"/>
    <cellStyle name="Normal 2 3" xfId="53" xr:uid="{00000000-0005-0000-0000-000063000000}"/>
    <cellStyle name="Normal 3" xfId="54" xr:uid="{00000000-0005-0000-0000-000064000000}"/>
    <cellStyle name="Normal 4" xfId="55" xr:uid="{00000000-0005-0000-0000-000065000000}"/>
    <cellStyle name="Notas 2" xfId="56" xr:uid="{00000000-0005-0000-0000-000066000000}"/>
    <cellStyle name="Notas 3" xfId="57" xr:uid="{00000000-0005-0000-0000-000067000000}"/>
    <cellStyle name="Porcentaje" xfId="2" builtinId="5"/>
    <cellStyle name="Porcentaje 2" xfId="58" xr:uid="{00000000-0005-0000-0000-000068000000}"/>
    <cellStyle name="Porcentaje 3" xfId="59" xr:uid="{00000000-0005-0000-0000-000069000000}"/>
    <cellStyle name="Porcentaje 4" xfId="60" xr:uid="{00000000-0005-0000-0000-00006A000000}"/>
    <cellStyle name="Salida 2" xfId="61" xr:uid="{00000000-0005-0000-0000-00006B000000}"/>
    <cellStyle name="Salida 3" xfId="62" xr:uid="{00000000-0005-0000-0000-00006C000000}"/>
    <cellStyle name="Texto de advertencia 2" xfId="63" xr:uid="{00000000-0005-0000-0000-00006D000000}"/>
    <cellStyle name="Texto explicativo 2" xfId="64" xr:uid="{00000000-0005-0000-0000-00006E000000}"/>
    <cellStyle name="Título 2 2" xfId="65" xr:uid="{00000000-0005-0000-0000-00006F000000}"/>
    <cellStyle name="Título 3 2" xfId="66" xr:uid="{00000000-0005-0000-0000-000070000000}"/>
    <cellStyle name="Título 4" xfId="67" xr:uid="{00000000-0005-0000-0000-000071000000}"/>
    <cellStyle name="Total 2" xfId="68" xr:uid="{00000000-0005-0000-0000-000072000000}"/>
  </cellStyles>
  <dxfs count="1">
    <dxf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colors>
    <mruColors>
      <color rgb="FFCCFFFF"/>
      <color rgb="FFFFCCFF"/>
      <color rgb="FFFFDAC9"/>
      <color rgb="FFD5FDEB"/>
      <color rgb="FFFCB2F5"/>
      <color rgb="FFFEF9BA"/>
      <color rgb="FFBDFBF1"/>
      <color rgb="FFA8AF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/>
              <a:t>crecimiento poblacional la guajira </a:t>
            </a:r>
          </a:p>
          <a:p>
            <a:pPr>
              <a:defRPr/>
            </a:pPr>
            <a:r>
              <a:rPr lang="es-CO" sz="1200"/>
              <a:t>(1998-2020)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'Análisis Longitudinal'!$G$2</c:f>
              <c:strCache>
                <c:ptCount val="1"/>
                <c:pt idx="0">
                  <c:v>Crecimiento PT (%)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'Análisis Longitudinal'!$C$3:$C$26</c:f>
              <c:numCache>
                <c:formatCode>General</c:formatCode>
                <c:ptCount val="24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</c:numCache>
            </c:numRef>
          </c:cat>
          <c:val>
            <c:numRef>
              <c:f>'Análisis Longitudinal'!$G$3:$G$25</c:f>
              <c:numCache>
                <c:formatCode>0.00%</c:formatCode>
                <c:ptCount val="23"/>
                <c:pt idx="0">
                  <c:v>2.5718655446119683E-2</c:v>
                </c:pt>
                <c:pt idx="1">
                  <c:v>2.5858747331955777E-2</c:v>
                </c:pt>
                <c:pt idx="2">
                  <c:v>2.5909206843901876E-2</c:v>
                </c:pt>
                <c:pt idx="3">
                  <c:v>2.5421751783302939E-2</c:v>
                </c:pt>
                <c:pt idx="4">
                  <c:v>2.4623784835813758E-2</c:v>
                </c:pt>
                <c:pt idx="5">
                  <c:v>2.3797021117972154E-2</c:v>
                </c:pt>
                <c:pt idx="6">
                  <c:v>2.2202240645376788E-2</c:v>
                </c:pt>
                <c:pt idx="7">
                  <c:v>2.3000752650537852E-2</c:v>
                </c:pt>
                <c:pt idx="8">
                  <c:v>2.2810602964106756E-2</c:v>
                </c:pt>
                <c:pt idx="9">
                  <c:v>2.287467549190543E-2</c:v>
                </c:pt>
                <c:pt idx="10">
                  <c:v>2.2934684622764229E-2</c:v>
                </c:pt>
                <c:pt idx="11">
                  <c:v>2.2590222974129454E-2</c:v>
                </c:pt>
                <c:pt idx="12">
                  <c:v>2.18975174052756E-2</c:v>
                </c:pt>
                <c:pt idx="13">
                  <c:v>2.1429644680220319E-2</c:v>
                </c:pt>
                <c:pt idx="14">
                  <c:v>2.1259677645930022E-2</c:v>
                </c:pt>
                <c:pt idx="15">
                  <c:v>2.076520601700458E-2</c:v>
                </c:pt>
                <c:pt idx="16">
                  <c:v>2.094282103892868E-2</c:v>
                </c:pt>
                <c:pt idx="17">
                  <c:v>2.441563357622788E-2</c:v>
                </c:pt>
                <c:pt idx="18">
                  <c:v>2.8335966938130546E-2</c:v>
                </c:pt>
                <c:pt idx="19">
                  <c:v>4.0836300194323487E-2</c:v>
                </c:pt>
                <c:pt idx="20">
                  <c:v>5.3313800308894342E-2</c:v>
                </c:pt>
                <c:pt idx="21">
                  <c:v>3.9418612925415035E-2</c:v>
                </c:pt>
                <c:pt idx="22">
                  <c:v>3.0095418679407137E-2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D-4CE9-9961-6A5AE552C804}"/>
            </c:ext>
          </c:extLst>
        </c:ser>
        <c:ser>
          <c:idx val="1"/>
          <c:order val="1"/>
          <c:tx>
            <c:strRef>
              <c:f>'Análisis Longitudinal'!$H$2</c:f>
              <c:strCache>
                <c:ptCount val="1"/>
                <c:pt idx="0">
                  <c:v>Crecimiento Urbano (%)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'Análisis Longitudinal'!$C$3:$C$26</c:f>
              <c:numCache>
                <c:formatCode>General</c:formatCode>
                <c:ptCount val="24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</c:numCache>
            </c:numRef>
          </c:cat>
          <c:val>
            <c:numRef>
              <c:f>'Análisis Longitudinal'!$H$3:$H$25</c:f>
              <c:numCache>
                <c:formatCode>0.00%</c:formatCode>
                <c:ptCount val="23"/>
                <c:pt idx="0">
                  <c:v>1.0217383921270497E-2</c:v>
                </c:pt>
                <c:pt idx="1">
                  <c:v>7.7064315084434559E-4</c:v>
                </c:pt>
                <c:pt idx="2">
                  <c:v>-1.1974531510020982E-2</c:v>
                </c:pt>
                <c:pt idx="3">
                  <c:v>-2.6054389387844771E-2</c:v>
                </c:pt>
                <c:pt idx="4">
                  <c:v>-3.6343423059571632E-2</c:v>
                </c:pt>
                <c:pt idx="5">
                  <c:v>-3.7937011296947543E-2</c:v>
                </c:pt>
                <c:pt idx="6">
                  <c:v>-3.0995469870584283E-2</c:v>
                </c:pt>
                <c:pt idx="7">
                  <c:v>-1.6909634934821532E-2</c:v>
                </c:pt>
                <c:pt idx="8">
                  <c:v>-3.9892242296722877E-3</c:v>
                </c:pt>
                <c:pt idx="9">
                  <c:v>6.139070866430181E-3</c:v>
                </c:pt>
                <c:pt idx="10">
                  <c:v>1.3055812612831287E-2</c:v>
                </c:pt>
                <c:pt idx="11">
                  <c:v>1.6882906843013225E-2</c:v>
                </c:pt>
                <c:pt idx="12">
                  <c:v>1.8664310433694133E-2</c:v>
                </c:pt>
                <c:pt idx="13">
                  <c:v>1.9606085664224459E-2</c:v>
                </c:pt>
                <c:pt idx="14">
                  <c:v>2.0247105429570415E-2</c:v>
                </c:pt>
                <c:pt idx="15">
                  <c:v>2.0217742361367825E-2</c:v>
                </c:pt>
                <c:pt idx="16">
                  <c:v>2.0623499892387286E-2</c:v>
                </c:pt>
                <c:pt idx="17">
                  <c:v>2.4248118795495252E-2</c:v>
                </c:pt>
                <c:pt idx="18">
                  <c:v>2.8234791288235157E-2</c:v>
                </c:pt>
                <c:pt idx="19">
                  <c:v>4.078368753881053E-2</c:v>
                </c:pt>
                <c:pt idx="20">
                  <c:v>8.4069589612211296E-2</c:v>
                </c:pt>
                <c:pt idx="21">
                  <c:v>8.1083570327838653E-2</c:v>
                </c:pt>
                <c:pt idx="22">
                  <c:v>3.9644428190577514E-2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D-4CE9-9961-6A5AE552C804}"/>
            </c:ext>
          </c:extLst>
        </c:ser>
        <c:ser>
          <c:idx val="2"/>
          <c:order val="2"/>
          <c:tx>
            <c:strRef>
              <c:f>'Análisis Longitudinal'!$I$2</c:f>
              <c:strCache>
                <c:ptCount val="1"/>
                <c:pt idx="0">
                  <c:v>Crecimiento Rural (%)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'Análisis Longitudinal'!$C$3:$C$26</c:f>
              <c:numCache>
                <c:formatCode>General</c:formatCode>
                <c:ptCount val="24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</c:numCache>
            </c:numRef>
          </c:cat>
          <c:val>
            <c:numRef>
              <c:f>'Análisis Longitudinal'!$I$3:$I$25</c:f>
              <c:numCache>
                <c:formatCode>0.00%</c:formatCode>
                <c:ptCount val="23"/>
                <c:pt idx="0">
                  <c:v>6.2522096723172257E-2</c:v>
                </c:pt>
                <c:pt idx="1">
                  <c:v>8.249125817995015E-2</c:v>
                </c:pt>
                <c:pt idx="2">
                  <c:v>0.10496996235857502</c:v>
                </c:pt>
                <c:pt idx="3">
                  <c:v>0.12147936300323574</c:v>
                </c:pt>
                <c:pt idx="4">
                  <c:v>0.12342573654206014</c:v>
                </c:pt>
                <c:pt idx="5">
                  <c:v>0.10961371595029284</c:v>
                </c:pt>
                <c:pt idx="6">
                  <c:v>8.6319030612779235E-2</c:v>
                </c:pt>
                <c:pt idx="7">
                  <c:v>6.5908250984172898E-2</c:v>
                </c:pt>
                <c:pt idx="8">
                  <c:v>4.9384353782515891E-2</c:v>
                </c:pt>
                <c:pt idx="9">
                  <c:v>3.8625080444975639E-2</c:v>
                </c:pt>
                <c:pt idx="10">
                  <c:v>3.1941201854454121E-2</c:v>
                </c:pt>
                <c:pt idx="11">
                  <c:v>2.7698328664674109E-2</c:v>
                </c:pt>
                <c:pt idx="12">
                  <c:v>2.4760816718311474E-2</c:v>
                </c:pt>
                <c:pt idx="13">
                  <c:v>2.3034964785774829E-2</c:v>
                </c:pt>
                <c:pt idx="14">
                  <c:v>2.214808014310914E-2</c:v>
                </c:pt>
                <c:pt idx="15">
                  <c:v>2.1244641983482339E-2</c:v>
                </c:pt>
                <c:pt idx="16">
                  <c:v>2.1222182233334365E-2</c:v>
                </c:pt>
                <c:pt idx="17">
                  <c:v>2.4562099588064368E-2</c:v>
                </c:pt>
                <c:pt idx="18">
                  <c:v>2.8424402433773966E-2</c:v>
                </c:pt>
                <c:pt idx="19">
                  <c:v>4.0882279324956201E-2</c:v>
                </c:pt>
                <c:pt idx="20">
                  <c:v>2.6438317685412962E-2</c:v>
                </c:pt>
                <c:pt idx="21">
                  <c:v>9.661074576861519E-4</c:v>
                </c:pt>
                <c:pt idx="22">
                  <c:v>2.0577282348896261E-2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ED-4CE9-9961-6A5AE552C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448399"/>
        <c:axId val="1726443407"/>
      </c:lineChart>
      <c:catAx>
        <c:axId val="172644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26443407"/>
        <c:crosses val="autoZero"/>
        <c:auto val="1"/>
        <c:lblAlgn val="ctr"/>
        <c:lblOffset val="100"/>
        <c:noMultiLvlLbl val="0"/>
      </c:catAx>
      <c:valAx>
        <c:axId val="172644340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2644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5045616159504018E-2"/>
          <c:y val="0.15057136863993287"/>
          <c:w val="0.94256822918170236"/>
          <c:h val="0.121900998464602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Tasa de Crecimiento Migración %</a:t>
            </a:r>
            <a:endParaRPr lang="es-CO">
              <a:effectLst/>
            </a:endParaRPr>
          </a:p>
          <a:p>
            <a:pPr>
              <a:defRPr/>
            </a:pPr>
            <a:r>
              <a:rPr lang="es-CO" sz="1800" b="1" i="0" cap="all" baseline="0">
                <a:effectLst/>
              </a:rPr>
              <a:t>(1998-2020)</a:t>
            </a:r>
            <a:endParaRPr lang="es-C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'Análisis Longitudinal'!$K$29</c:f>
              <c:strCache>
                <c:ptCount val="1"/>
                <c:pt idx="0">
                  <c:v>Tasa de Crecimiento Migración Neta (%)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'Análisis Longitudinal'!$C$30:$C$52</c:f>
              <c:numCache>
                <c:formatCode>General</c:formatCode>
                <c:ptCount val="2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</c:numCache>
            </c:numRef>
          </c:cat>
          <c:val>
            <c:numRef>
              <c:f>'Análisis Longitudinal'!$K$30:$K$52</c:f>
              <c:numCache>
                <c:formatCode>0.00%</c:formatCode>
                <c:ptCount val="23"/>
                <c:pt idx="0">
                  <c:v>2.5381970756326363E-2</c:v>
                </c:pt>
                <c:pt idx="1">
                  <c:v>2.7256526986218835E-2</c:v>
                </c:pt>
                <c:pt idx="2">
                  <c:v>2.5548111357019707E-2</c:v>
                </c:pt>
                <c:pt idx="3">
                  <c:v>2.5274506924226586E-2</c:v>
                </c:pt>
                <c:pt idx="4">
                  <c:v>2.5000294914163126E-2</c:v>
                </c:pt>
                <c:pt idx="5">
                  <c:v>2.4383948124716389E-2</c:v>
                </c:pt>
                <c:pt idx="6">
                  <c:v>2.0941836968890588E-2</c:v>
                </c:pt>
                <c:pt idx="7">
                  <c:v>2.1963286050931684E-2</c:v>
                </c:pt>
                <c:pt idx="8">
                  <c:v>2.3351044028562726E-2</c:v>
                </c:pt>
                <c:pt idx="9">
                  <c:v>2.2313147681050059E-2</c:v>
                </c:pt>
                <c:pt idx="10">
                  <c:v>2.3584697589479224E-2</c:v>
                </c:pt>
                <c:pt idx="11">
                  <c:v>2.3476532086844349E-2</c:v>
                </c:pt>
                <c:pt idx="12">
                  <c:v>2.1579401671614141E-2</c:v>
                </c:pt>
                <c:pt idx="13">
                  <c:v>2.0689418294727008E-2</c:v>
                </c:pt>
                <c:pt idx="14">
                  <c:v>2.1717037792814559E-2</c:v>
                </c:pt>
                <c:pt idx="15">
                  <c:v>1.938599807918551E-2</c:v>
                </c:pt>
                <c:pt idx="16">
                  <c:v>2.0818901789683729E-2</c:v>
                </c:pt>
                <c:pt idx="17">
                  <c:v>2.4120211121478406E-2</c:v>
                </c:pt>
                <c:pt idx="18">
                  <c:v>2.6830537661525301E-2</c:v>
                </c:pt>
                <c:pt idx="19">
                  <c:v>3.8111897793610412E-2</c:v>
                </c:pt>
                <c:pt idx="20">
                  <c:v>5.3504041563743054E-2</c:v>
                </c:pt>
                <c:pt idx="21">
                  <c:v>3.7518741207319031E-2</c:v>
                </c:pt>
                <c:pt idx="22">
                  <c:v>3.0270267976220917E-2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D2-42E9-A0F9-0C472258C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578863"/>
        <c:axId val="634563055"/>
      </c:lineChart>
      <c:catAx>
        <c:axId val="63457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4563055"/>
        <c:crosses val="autoZero"/>
        <c:auto val="1"/>
        <c:lblAlgn val="ctr"/>
        <c:lblOffset val="100"/>
        <c:noMultiLvlLbl val="0"/>
      </c:catAx>
      <c:valAx>
        <c:axId val="63456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457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Defunciones en La Guajira</a:t>
            </a:r>
            <a:br>
              <a:rPr lang="es-CO" b="1"/>
            </a:br>
            <a:r>
              <a:rPr lang="es-CO" b="1"/>
              <a:t>(1998-2021) por tipo de población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6082710676433721E-2"/>
          <c:y val="0.24736525624851566"/>
          <c:w val="0.89425081754366287"/>
          <c:h val="0.64909368761139263"/>
        </c:manualLayout>
      </c:layout>
      <c:lineChart>
        <c:grouping val="standard"/>
        <c:varyColors val="0"/>
        <c:ser>
          <c:idx val="0"/>
          <c:order val="0"/>
          <c:tx>
            <c:strRef>
              <c:f>'Análisis Longitudinal'!$D$55</c:f>
              <c:strCache>
                <c:ptCount val="1"/>
                <c:pt idx="0">
                  <c:v>Defunciones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'Análisis Longitudinal'!$C$55:$C$79</c15:sqref>
                  </c15:fullRef>
                </c:ext>
              </c:extLst>
              <c:f>'Análisis Longitudinal'!$C$56:$C$79</c:f>
              <c:strCache>
                <c:ptCount val="24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Longitudinal'!$D$56:$D$79</c15:sqref>
                  </c15:fullRef>
                </c:ext>
              </c:extLst>
              <c:f>'Análisis Longitudinal'!$D$57:$D$79</c:f>
              <c:numCache>
                <c:formatCode>#,##0</c:formatCode>
                <c:ptCount val="23"/>
                <c:pt idx="0">
                  <c:v>1280</c:v>
                </c:pt>
                <c:pt idx="1">
                  <c:v>1392</c:v>
                </c:pt>
                <c:pt idx="2">
                  <c:v>1437</c:v>
                </c:pt>
                <c:pt idx="3">
                  <c:v>1480</c:v>
                </c:pt>
                <c:pt idx="4">
                  <c:v>1301</c:v>
                </c:pt>
                <c:pt idx="5">
                  <c:v>1579</c:v>
                </c:pt>
                <c:pt idx="6">
                  <c:v>1692</c:v>
                </c:pt>
                <c:pt idx="7">
                  <c:v>1588</c:v>
                </c:pt>
                <c:pt idx="8">
                  <c:v>1692</c:v>
                </c:pt>
                <c:pt idx="9">
                  <c:v>1648</c:v>
                </c:pt>
                <c:pt idx="10">
                  <c:v>1758</c:v>
                </c:pt>
                <c:pt idx="11">
                  <c:v>1745</c:v>
                </c:pt>
                <c:pt idx="12">
                  <c:v>1703</c:v>
                </c:pt>
                <c:pt idx="13">
                  <c:v>1628</c:v>
                </c:pt>
                <c:pt idx="14">
                  <c:v>1646</c:v>
                </c:pt>
                <c:pt idx="15">
                  <c:v>1825</c:v>
                </c:pt>
                <c:pt idx="16">
                  <c:v>1920</c:v>
                </c:pt>
                <c:pt idx="17">
                  <c:v>2154</c:v>
                </c:pt>
                <c:pt idx="18">
                  <c:v>2204</c:v>
                </c:pt>
                <c:pt idx="19">
                  <c:v>2759</c:v>
                </c:pt>
                <c:pt idx="20">
                  <c:v>3056</c:v>
                </c:pt>
                <c:pt idx="21">
                  <c:v>3542</c:v>
                </c:pt>
                <c:pt idx="22">
                  <c:v>4313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0-419A-83AD-0F99725D1F47}"/>
            </c:ext>
          </c:extLst>
        </c:ser>
        <c:ser>
          <c:idx val="1"/>
          <c:order val="1"/>
          <c:tx>
            <c:strRef>
              <c:f>'Análisis Longitudinal'!$E$55</c:f>
              <c:strCache>
                <c:ptCount val="1"/>
                <c:pt idx="0">
                  <c:v>Urbano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'Análisis Longitudinal'!$C$55:$C$79</c15:sqref>
                  </c15:fullRef>
                </c:ext>
              </c:extLst>
              <c:f>'Análisis Longitudinal'!$C$56:$C$79</c:f>
              <c:strCache>
                <c:ptCount val="24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Longitudinal'!$E$56:$E$79</c15:sqref>
                  </c15:fullRef>
                </c:ext>
              </c:extLst>
              <c:f>'Análisis Longitudinal'!$E$57:$E$79</c:f>
              <c:numCache>
                <c:formatCode>#,##0</c:formatCode>
                <c:ptCount val="23"/>
                <c:pt idx="0">
                  <c:v>919</c:v>
                </c:pt>
                <c:pt idx="1">
                  <c:v>1021</c:v>
                </c:pt>
                <c:pt idx="2">
                  <c:v>1042</c:v>
                </c:pt>
                <c:pt idx="3">
                  <c:v>1095</c:v>
                </c:pt>
                <c:pt idx="4">
                  <c:v>1005</c:v>
                </c:pt>
                <c:pt idx="5">
                  <c:v>1176</c:v>
                </c:pt>
                <c:pt idx="6">
                  <c:v>1250</c:v>
                </c:pt>
                <c:pt idx="7">
                  <c:v>1126</c:v>
                </c:pt>
                <c:pt idx="8">
                  <c:v>1204</c:v>
                </c:pt>
                <c:pt idx="9">
                  <c:v>1149</c:v>
                </c:pt>
                <c:pt idx="10">
                  <c:v>1228</c:v>
                </c:pt>
                <c:pt idx="11">
                  <c:v>1250</c:v>
                </c:pt>
                <c:pt idx="12">
                  <c:v>1287</c:v>
                </c:pt>
                <c:pt idx="13">
                  <c:v>1161</c:v>
                </c:pt>
                <c:pt idx="14">
                  <c:v>1189</c:v>
                </c:pt>
                <c:pt idx="15">
                  <c:v>1346</c:v>
                </c:pt>
                <c:pt idx="16">
                  <c:v>1366</c:v>
                </c:pt>
                <c:pt idx="17">
                  <c:v>1530</c:v>
                </c:pt>
                <c:pt idx="18">
                  <c:v>1646</c:v>
                </c:pt>
                <c:pt idx="19">
                  <c:v>2024</c:v>
                </c:pt>
                <c:pt idx="20">
                  <c:v>2209</c:v>
                </c:pt>
                <c:pt idx="21">
                  <c:v>2704</c:v>
                </c:pt>
                <c:pt idx="22">
                  <c:v>3273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E0-419A-83AD-0F99725D1F47}"/>
            </c:ext>
          </c:extLst>
        </c:ser>
        <c:ser>
          <c:idx val="2"/>
          <c:order val="2"/>
          <c:tx>
            <c:strRef>
              <c:f>'Análisis Longitudinal'!$F$55</c:f>
              <c:strCache>
                <c:ptCount val="1"/>
                <c:pt idx="0">
                  <c:v>Rural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'Análisis Longitudinal'!$C$55:$C$79</c15:sqref>
                  </c15:fullRef>
                </c:ext>
              </c:extLst>
              <c:f>'Análisis Longitudinal'!$C$56:$C$79</c:f>
              <c:strCache>
                <c:ptCount val="24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Longitudinal'!$F$56:$F$79</c15:sqref>
                  </c15:fullRef>
                </c:ext>
              </c:extLst>
              <c:f>'Análisis Longitudinal'!$F$57:$F$79</c:f>
              <c:numCache>
                <c:formatCode>#,##0</c:formatCode>
                <c:ptCount val="23"/>
                <c:pt idx="0">
                  <c:v>305</c:v>
                </c:pt>
                <c:pt idx="1">
                  <c:v>314</c:v>
                </c:pt>
                <c:pt idx="2" formatCode="General">
                  <c:v>339</c:v>
                </c:pt>
                <c:pt idx="3">
                  <c:v>299</c:v>
                </c:pt>
                <c:pt idx="4">
                  <c:v>264</c:v>
                </c:pt>
                <c:pt idx="5">
                  <c:v>255</c:v>
                </c:pt>
                <c:pt idx="6">
                  <c:v>383</c:v>
                </c:pt>
                <c:pt idx="7">
                  <c:v>401</c:v>
                </c:pt>
                <c:pt idx="8">
                  <c:v>404</c:v>
                </c:pt>
                <c:pt idx="9">
                  <c:v>406</c:v>
                </c:pt>
                <c:pt idx="10">
                  <c:v>440</c:v>
                </c:pt>
                <c:pt idx="11">
                  <c:v>431</c:v>
                </c:pt>
                <c:pt idx="12">
                  <c:v>413</c:v>
                </c:pt>
                <c:pt idx="13">
                  <c:v>463</c:v>
                </c:pt>
                <c:pt idx="14">
                  <c:v>452</c:v>
                </c:pt>
                <c:pt idx="15">
                  <c:v>479</c:v>
                </c:pt>
                <c:pt idx="16">
                  <c:v>552</c:v>
                </c:pt>
                <c:pt idx="17">
                  <c:v>622</c:v>
                </c:pt>
                <c:pt idx="18">
                  <c:v>557</c:v>
                </c:pt>
                <c:pt idx="19">
                  <c:v>729</c:v>
                </c:pt>
                <c:pt idx="20">
                  <c:v>845</c:v>
                </c:pt>
                <c:pt idx="21">
                  <c:v>837</c:v>
                </c:pt>
                <c:pt idx="22">
                  <c:v>1039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E0-419A-83AD-0F99725D1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646559"/>
        <c:axId val="1696646975"/>
      </c:lineChart>
      <c:catAx>
        <c:axId val="16966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6646975"/>
        <c:crosses val="autoZero"/>
        <c:auto val="1"/>
        <c:lblAlgn val="ctr"/>
        <c:lblOffset val="100"/>
        <c:noMultiLvlLbl val="0"/>
      </c:catAx>
      <c:valAx>
        <c:axId val="169664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000_);[Red]\(#,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664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722569653900365E-2"/>
          <c:y val="0.17529097739675117"/>
          <c:w val="0.88439526949923175"/>
          <c:h val="5.5516401112921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/>
              <a:t>crecimiento poblacional la RIOHACHA </a:t>
            </a:r>
          </a:p>
          <a:p>
            <a:pPr>
              <a:defRPr sz="1200"/>
            </a:pPr>
            <a:r>
              <a:rPr lang="es-CO" sz="1200"/>
              <a:t>(1998-2020)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174750269222503"/>
          <c:y val="0.25832784097545258"/>
          <c:w val="0.84576596675415572"/>
          <c:h val="0.58139654418197728"/>
        </c:manualLayout>
      </c:layout>
      <c:lineChart>
        <c:grouping val="standard"/>
        <c:varyColors val="0"/>
        <c:ser>
          <c:idx val="0"/>
          <c:order val="0"/>
          <c:tx>
            <c:strRef>
              <c:f>AL_Riohacha!$G$2</c:f>
              <c:strCache>
                <c:ptCount val="1"/>
                <c:pt idx="0">
                  <c:v>Crecimiento PT (%)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AL_Riohacha!$C$3:$C$25</c:f>
              <c:numCache>
                <c:formatCode>General</c:formatCode>
                <c:ptCount val="2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</c:numCache>
            </c:numRef>
          </c:cat>
          <c:val>
            <c:numRef>
              <c:f>AL_Riohacha!$G$3:$G$25</c:f>
              <c:numCache>
                <c:formatCode>0.00%</c:formatCode>
                <c:ptCount val="23"/>
                <c:pt idx="0">
                  <c:v>2.0155947794039262E-2</c:v>
                </c:pt>
                <c:pt idx="1">
                  <c:v>1.8884402081016324E-3</c:v>
                </c:pt>
                <c:pt idx="2">
                  <c:v>1.2240549520957192E-2</c:v>
                </c:pt>
                <c:pt idx="3">
                  <c:v>5.2918620141459791E-3</c:v>
                </c:pt>
                <c:pt idx="4">
                  <c:v>6.8820101326617271E-4</c:v>
                </c:pt>
                <c:pt idx="5">
                  <c:v>1.6095755110402248E-4</c:v>
                </c:pt>
                <c:pt idx="6">
                  <c:v>3.6575374531835204E-3</c:v>
                </c:pt>
                <c:pt idx="7">
                  <c:v>1.1085682633159384E-2</c:v>
                </c:pt>
                <c:pt idx="8">
                  <c:v>1.623355559560281E-2</c:v>
                </c:pt>
                <c:pt idx="9">
                  <c:v>2.0939585889896934E-2</c:v>
                </c:pt>
                <c:pt idx="10">
                  <c:v>2.3178094755052839E-2</c:v>
                </c:pt>
                <c:pt idx="11">
                  <c:v>2.4323498455165859E-2</c:v>
                </c:pt>
                <c:pt idx="12">
                  <c:v>2.4475130430170969E-2</c:v>
                </c:pt>
                <c:pt idx="13">
                  <c:v>2.4498670238580551E-2</c:v>
                </c:pt>
                <c:pt idx="14">
                  <c:v>2.444970787936207E-2</c:v>
                </c:pt>
                <c:pt idx="15">
                  <c:v>2.3884682729537102E-2</c:v>
                </c:pt>
                <c:pt idx="16">
                  <c:v>2.3851387968928765E-2</c:v>
                </c:pt>
                <c:pt idx="17">
                  <c:v>2.731854779422576E-2</c:v>
                </c:pt>
                <c:pt idx="18">
                  <c:v>3.1481142229041199E-2</c:v>
                </c:pt>
                <c:pt idx="19">
                  <c:v>4.3507700846399336E-2</c:v>
                </c:pt>
                <c:pt idx="20">
                  <c:v>4.1129915857329773E-2</c:v>
                </c:pt>
                <c:pt idx="21">
                  <c:v>5.2823287202358148E-2</c:v>
                </c:pt>
                <c:pt idx="22">
                  <c:v>3.1025731851111425E-2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A-4763-AA94-523475DEA26A}"/>
            </c:ext>
          </c:extLst>
        </c:ser>
        <c:ser>
          <c:idx val="1"/>
          <c:order val="1"/>
          <c:tx>
            <c:strRef>
              <c:f>AL_Riohacha!$H$2</c:f>
              <c:strCache>
                <c:ptCount val="1"/>
                <c:pt idx="0">
                  <c:v>Crecimiento Urbano (%)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AL_Riohacha!$C$3:$C$25</c:f>
              <c:numCache>
                <c:formatCode>General</c:formatCode>
                <c:ptCount val="2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</c:numCache>
            </c:numRef>
          </c:cat>
          <c:val>
            <c:numRef>
              <c:f>AL_Riohacha!$H$3:$H$25</c:f>
              <c:numCache>
                <c:formatCode>0.00%</c:formatCode>
                <c:ptCount val="23"/>
                <c:pt idx="0">
                  <c:v>8.5879942456079158E-3</c:v>
                </c:pt>
                <c:pt idx="1">
                  <c:v>-1.9164937759336101E-2</c:v>
                </c:pt>
                <c:pt idx="2">
                  <c:v>-8.4080272864281748E-3</c:v>
                </c:pt>
                <c:pt idx="3">
                  <c:v>-2.2824840679412314E-2</c:v>
                </c:pt>
                <c:pt idx="4">
                  <c:v>-3.3108667376138108E-2</c:v>
                </c:pt>
                <c:pt idx="5">
                  <c:v>-3.5295999096904077E-2</c:v>
                </c:pt>
                <c:pt idx="6">
                  <c:v>-2.7879355235058363E-2</c:v>
                </c:pt>
                <c:pt idx="7">
                  <c:v>-1.404353495837095E-2</c:v>
                </c:pt>
                <c:pt idx="8">
                  <c:v>-1.3633126462508902E-3</c:v>
                </c:pt>
                <c:pt idx="9">
                  <c:v>8.8532540038306368E-3</c:v>
                </c:pt>
                <c:pt idx="10">
                  <c:v>1.5480939156778591E-2</c:v>
                </c:pt>
                <c:pt idx="11">
                  <c:v>1.9312237713558344E-2</c:v>
                </c:pt>
                <c:pt idx="12">
                  <c:v>2.0907317073170732E-2</c:v>
                </c:pt>
                <c:pt idx="13">
                  <c:v>2.1989048479114703E-2</c:v>
                </c:pt>
                <c:pt idx="14">
                  <c:v>2.2497755834829443E-2</c:v>
                </c:pt>
                <c:pt idx="15">
                  <c:v>2.2459990855052583E-2</c:v>
                </c:pt>
                <c:pt idx="16">
                  <c:v>2.2717922115092212E-2</c:v>
                </c:pt>
                <c:pt idx="17">
                  <c:v>2.6454795095587076E-2</c:v>
                </c:pt>
                <c:pt idx="18">
                  <c:v>3.0458971977745782E-2</c:v>
                </c:pt>
                <c:pt idx="19">
                  <c:v>4.2638863625088883E-2</c:v>
                </c:pt>
                <c:pt idx="20">
                  <c:v>9.2749577726144505E-2</c:v>
                </c:pt>
                <c:pt idx="21">
                  <c:v>9.0965827037932059E-2</c:v>
                </c:pt>
                <c:pt idx="22">
                  <c:v>3.4702728591004033E-2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9A-4763-AA94-523475DEA26A}"/>
            </c:ext>
          </c:extLst>
        </c:ser>
        <c:ser>
          <c:idx val="2"/>
          <c:order val="2"/>
          <c:tx>
            <c:strRef>
              <c:f>AL_Riohacha!$I$2</c:f>
              <c:strCache>
                <c:ptCount val="1"/>
                <c:pt idx="0">
                  <c:v>Crecimiento Rural (%)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AL_Riohacha!$C$3:$C$25</c:f>
              <c:numCache>
                <c:formatCode>General</c:formatCode>
                <c:ptCount val="2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</c:numCache>
            </c:numRef>
          </c:cat>
          <c:val>
            <c:numRef>
              <c:f>AL_Riohacha!$I$3:$I$25</c:f>
              <c:numCache>
                <c:formatCode>0.00%</c:formatCode>
                <c:ptCount val="23"/>
                <c:pt idx="0">
                  <c:v>9.9933858457098193E-2</c:v>
                </c:pt>
                <c:pt idx="1">
                  <c:v>0.13502432624501176</c:v>
                </c:pt>
                <c:pt idx="2">
                  <c:v>0.12507826422000673</c:v>
                </c:pt>
                <c:pt idx="3">
                  <c:v>0.14071061643835617</c:v>
                </c:pt>
                <c:pt idx="4">
                  <c:v>0.14012834465418245</c:v>
                </c:pt>
                <c:pt idx="5">
                  <c:v>0.12422237582699713</c:v>
                </c:pt>
                <c:pt idx="6">
                  <c:v>9.8345776606646174E-2</c:v>
                </c:pt>
                <c:pt idx="7">
                  <c:v>7.7864264008103645E-2</c:v>
                </c:pt>
                <c:pt idx="8">
                  <c:v>5.9008284901694075E-2</c:v>
                </c:pt>
                <c:pt idx="9">
                  <c:v>4.8644356740851449E-2</c:v>
                </c:pt>
                <c:pt idx="10">
                  <c:v>4.0152324959914484E-2</c:v>
                </c:pt>
                <c:pt idx="11">
                  <c:v>3.5112509902155996E-2</c:v>
                </c:pt>
                <c:pt idx="12">
                  <c:v>3.2039216497404183E-2</c:v>
                </c:pt>
                <c:pt idx="13">
                  <c:v>2.976190476190476E-2</c:v>
                </c:pt>
                <c:pt idx="14">
                  <c:v>2.8512485159884002E-2</c:v>
                </c:pt>
                <c:pt idx="15">
                  <c:v>2.6832683646822845E-2</c:v>
                </c:pt>
                <c:pt idx="16">
                  <c:v>2.6186790505675954E-2</c:v>
                </c:pt>
                <c:pt idx="17">
                  <c:v>2.9092215138726767E-2</c:v>
                </c:pt>
                <c:pt idx="18">
                  <c:v>3.3574731698804643E-2</c:v>
                </c:pt>
                <c:pt idx="19">
                  <c:v>4.5281872055918555E-2</c:v>
                </c:pt>
                <c:pt idx="20">
                  <c:v>-6.4011241944081018E-2</c:v>
                </c:pt>
                <c:pt idx="21">
                  <c:v>-3.787878787878788E-2</c:v>
                </c:pt>
                <c:pt idx="22">
                  <c:v>2.1110971606909047E-2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9A-4763-AA94-523475DEA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1664591"/>
        <c:axId val="1491665007"/>
      </c:lineChart>
      <c:catAx>
        <c:axId val="149166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491665007"/>
        <c:crosses val="autoZero"/>
        <c:auto val="1"/>
        <c:lblAlgn val="ctr"/>
        <c:lblOffset val="100"/>
        <c:noMultiLvlLbl val="0"/>
      </c:catAx>
      <c:valAx>
        <c:axId val="149166500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49166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Tasa de Crecimiento Migración</a:t>
            </a:r>
            <a:r>
              <a:rPr lang="en-US" sz="1800" baseline="0"/>
              <a:t> %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s-CO" sz="2000" b="1" i="0" cap="all" baseline="0">
                <a:effectLst/>
              </a:rPr>
              <a:t>(1998-2020)</a:t>
            </a:r>
            <a:endParaRPr lang="es-CO" sz="18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32073052066461566"/>
          <c:y val="3.0144933040270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5639311629533487E-2"/>
          <c:y val="0.198715398601465"/>
          <c:w val="0.9162937312185121"/>
          <c:h val="0.73135357870201145"/>
        </c:manualLayout>
      </c:layout>
      <c:lineChart>
        <c:grouping val="standard"/>
        <c:varyColors val="0"/>
        <c:ser>
          <c:idx val="0"/>
          <c:order val="0"/>
          <c:tx>
            <c:strRef>
              <c:f>AL_Riohacha!$J$29</c:f>
              <c:strCache>
                <c:ptCount val="1"/>
                <c:pt idx="0">
                  <c:v>Tasa de Crecimiento Migración (%)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AL_Riohacha!$C$30:$C$52</c:f>
              <c:numCache>
                <c:formatCode>General</c:formatCode>
                <c:ptCount val="2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</c:numCache>
            </c:numRef>
          </c:cat>
          <c:val>
            <c:numRef>
              <c:f>AL_Riohacha!$J$30:$J$52</c:f>
              <c:numCache>
                <c:formatCode>0.00%</c:formatCode>
                <c:ptCount val="23"/>
                <c:pt idx="0">
                  <c:v>2.0833658696568849E-2</c:v>
                </c:pt>
                <c:pt idx="1">
                  <c:v>3.9088197047349501E-3</c:v>
                </c:pt>
                <c:pt idx="2">
                  <c:v>1.1596985698066916E-2</c:v>
                </c:pt>
                <c:pt idx="3">
                  <c:v>6.6810783124816404E-3</c:v>
                </c:pt>
                <c:pt idx="4">
                  <c:v>-9.1283202394313505E-4</c:v>
                </c:pt>
                <c:pt idx="5">
                  <c:v>3.1004733089689054E-3</c:v>
                </c:pt>
                <c:pt idx="6">
                  <c:v>-1.9187409475743232E-3</c:v>
                </c:pt>
                <c:pt idx="7">
                  <c:v>8.3105808430265181E-3</c:v>
                </c:pt>
                <c:pt idx="8">
                  <c:v>1.5044956823644618E-2</c:v>
                </c:pt>
                <c:pt idx="9">
                  <c:v>1.8936736245103197E-2</c:v>
                </c:pt>
                <c:pt idx="10">
                  <c:v>2.6403184736219203E-2</c:v>
                </c:pt>
                <c:pt idx="11">
                  <c:v>2.7072734388103092E-2</c:v>
                </c:pt>
                <c:pt idx="12">
                  <c:v>2.1990882493025787E-2</c:v>
                </c:pt>
                <c:pt idx="13">
                  <c:v>2.336187267812679E-2</c:v>
                </c:pt>
                <c:pt idx="14">
                  <c:v>2.6042378229274417E-2</c:v>
                </c:pt>
                <c:pt idx="15">
                  <c:v>2.2261815691695094E-2</c:v>
                </c:pt>
                <c:pt idx="16">
                  <c:v>2.3513723057838425E-2</c:v>
                </c:pt>
                <c:pt idx="17">
                  <c:v>2.7100402385223252E-2</c:v>
                </c:pt>
                <c:pt idx="18">
                  <c:v>3.1146747852355328E-2</c:v>
                </c:pt>
                <c:pt idx="19">
                  <c:v>4.1638295559230293E-2</c:v>
                </c:pt>
                <c:pt idx="20">
                  <c:v>3.8946628287666721E-2</c:v>
                </c:pt>
                <c:pt idx="21">
                  <c:v>5.6600082481203802E-2</c:v>
                </c:pt>
                <c:pt idx="22">
                  <c:v>3.0969930794289401E-2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1-4D6A-9D1C-21F80AB0C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797983"/>
        <c:axId val="1612640447"/>
      </c:lineChart>
      <c:catAx>
        <c:axId val="32879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2640447"/>
        <c:crosses val="autoZero"/>
        <c:auto val="1"/>
        <c:lblAlgn val="ctr"/>
        <c:lblOffset val="100"/>
        <c:noMultiLvlLbl val="0"/>
      </c:catAx>
      <c:valAx>
        <c:axId val="161264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879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>
                <a:latin typeface="Arial" panose="020B0604020202020204" pitchFamily="34" charset="0"/>
                <a:cs typeface="Arial" panose="020B0604020202020204" pitchFamily="34" charset="0"/>
              </a:rPr>
              <a:t>Defunciones</a:t>
            </a:r>
            <a:r>
              <a:rPr lang="es-CO" sz="1400" b="1" baseline="0">
                <a:latin typeface="Arial" panose="020B0604020202020204" pitchFamily="34" charset="0"/>
                <a:cs typeface="Arial" panose="020B0604020202020204" pitchFamily="34" charset="0"/>
              </a:rPr>
              <a:t> en Riohacha - La Guajira</a:t>
            </a:r>
            <a:br>
              <a:rPr lang="es-CO" sz="1400" b="1" baseline="0"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es-CO" sz="1400" b="1" baseline="0">
                <a:latin typeface="Arial" panose="020B0604020202020204" pitchFamily="34" charset="0"/>
                <a:cs typeface="Arial" panose="020B0604020202020204" pitchFamily="34" charset="0"/>
              </a:rPr>
              <a:t>(1998-2021) por tipo de población</a:t>
            </a:r>
            <a:endParaRPr lang="es-CO" sz="14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8686690668613673E-2"/>
          <c:y val="0.23349857368420115"/>
          <c:w val="0.91608729898968833"/>
          <c:h val="0.68696085680782382"/>
        </c:manualLayout>
      </c:layout>
      <c:lineChart>
        <c:grouping val="stacked"/>
        <c:varyColors val="0"/>
        <c:ser>
          <c:idx val="0"/>
          <c:order val="0"/>
          <c:tx>
            <c:strRef>
              <c:f>AL_Riohacha!$D$55</c:f>
              <c:strCache>
                <c:ptCount val="1"/>
                <c:pt idx="0">
                  <c:v>Defunciones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AL_Riohacha!$C$56:$C$79</c:f>
              <c:numCache>
                <c:formatCode>General</c:formatCode>
                <c:ptCount val="24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</c:numCache>
            </c:numRef>
          </c:cat>
          <c:val>
            <c:numRef>
              <c:f>AL_Riohacha!$D$56:$D$79</c:f>
              <c:numCache>
                <c:formatCode>General</c:formatCode>
                <c:ptCount val="24"/>
                <c:pt idx="0">
                  <c:v>340</c:v>
                </c:pt>
                <c:pt idx="1">
                  <c:v>347</c:v>
                </c:pt>
                <c:pt idx="2">
                  <c:v>413</c:v>
                </c:pt>
                <c:pt idx="3">
                  <c:v>354</c:v>
                </c:pt>
                <c:pt idx="4">
                  <c:v>418</c:v>
                </c:pt>
                <c:pt idx="5">
                  <c:v>359</c:v>
                </c:pt>
                <c:pt idx="6">
                  <c:v>484</c:v>
                </c:pt>
                <c:pt idx="7">
                  <c:v>493</c:v>
                </c:pt>
                <c:pt idx="8">
                  <c:v>508</c:v>
                </c:pt>
                <c:pt idx="9">
                  <c:v>533</c:v>
                </c:pt>
                <c:pt idx="10">
                  <c:v>484</c:v>
                </c:pt>
                <c:pt idx="11">
                  <c:v>520</c:v>
                </c:pt>
                <c:pt idx="12">
                  <c:v>542</c:v>
                </c:pt>
                <c:pt idx="13">
                  <c:v>600</c:v>
                </c:pt>
                <c:pt idx="14">
                  <c:v>579</c:v>
                </c:pt>
                <c:pt idx="15">
                  <c:v>541</c:v>
                </c:pt>
                <c:pt idx="16">
                  <c:v>604</c:v>
                </c:pt>
                <c:pt idx="17">
                  <c:v>620</c:v>
                </c:pt>
                <c:pt idx="18">
                  <c:v>620</c:v>
                </c:pt>
                <c:pt idx="19">
                  <c:v>678</c:v>
                </c:pt>
                <c:pt idx="20">
                  <c:v>856</c:v>
                </c:pt>
                <c:pt idx="21">
                  <c:v>872</c:v>
                </c:pt>
                <c:pt idx="22">
                  <c:v>1080</c:v>
                </c:pt>
                <c:pt idx="23">
                  <c:v>1181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2-469A-909C-37B593452100}"/>
            </c:ext>
          </c:extLst>
        </c:ser>
        <c:ser>
          <c:idx val="1"/>
          <c:order val="1"/>
          <c:tx>
            <c:strRef>
              <c:f>AL_Riohacha!$E$55</c:f>
              <c:strCache>
                <c:ptCount val="1"/>
                <c:pt idx="0">
                  <c:v>Urbano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AL_Riohacha!$C$56:$C$79</c:f>
              <c:numCache>
                <c:formatCode>General</c:formatCode>
                <c:ptCount val="24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</c:numCache>
            </c:numRef>
          </c:cat>
          <c:val>
            <c:numRef>
              <c:f>AL_Riohacha!$E$56:$E$79</c:f>
              <c:numCache>
                <c:formatCode>General</c:formatCode>
                <c:ptCount val="24"/>
                <c:pt idx="0">
                  <c:v>282</c:v>
                </c:pt>
                <c:pt idx="1">
                  <c:v>282</c:v>
                </c:pt>
                <c:pt idx="2">
                  <c:v>337</c:v>
                </c:pt>
                <c:pt idx="3">
                  <c:v>298</c:v>
                </c:pt>
                <c:pt idx="4">
                  <c:v>326</c:v>
                </c:pt>
                <c:pt idx="5">
                  <c:v>291</c:v>
                </c:pt>
                <c:pt idx="6">
                  <c:v>401</c:v>
                </c:pt>
                <c:pt idx="7">
                  <c:v>403</c:v>
                </c:pt>
                <c:pt idx="8">
                  <c:v>396</c:v>
                </c:pt>
                <c:pt idx="9">
                  <c:v>400</c:v>
                </c:pt>
                <c:pt idx="10">
                  <c:v>353</c:v>
                </c:pt>
                <c:pt idx="11">
                  <c:v>407</c:v>
                </c:pt>
                <c:pt idx="12">
                  <c:v>423</c:v>
                </c:pt>
                <c:pt idx="13">
                  <c:v>476</c:v>
                </c:pt>
                <c:pt idx="14">
                  <c:v>435</c:v>
                </c:pt>
                <c:pt idx="15">
                  <c:v>417</c:v>
                </c:pt>
                <c:pt idx="16">
                  <c:v>474</c:v>
                </c:pt>
                <c:pt idx="17">
                  <c:v>476</c:v>
                </c:pt>
                <c:pt idx="18">
                  <c:v>460</c:v>
                </c:pt>
                <c:pt idx="19">
                  <c:v>544</c:v>
                </c:pt>
                <c:pt idx="20">
                  <c:v>658</c:v>
                </c:pt>
                <c:pt idx="21">
                  <c:v>668</c:v>
                </c:pt>
                <c:pt idx="22">
                  <c:v>884</c:v>
                </c:pt>
                <c:pt idx="23">
                  <c:v>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22-469A-909C-37B593452100}"/>
            </c:ext>
          </c:extLst>
        </c:ser>
        <c:ser>
          <c:idx val="2"/>
          <c:order val="2"/>
          <c:tx>
            <c:strRef>
              <c:f>AL_Riohacha!$F$55</c:f>
              <c:strCache>
                <c:ptCount val="1"/>
                <c:pt idx="0">
                  <c:v>Rural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AL_Riohacha!$C$56:$C$79</c:f>
              <c:numCache>
                <c:formatCode>General</c:formatCode>
                <c:ptCount val="24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</c:numCache>
            </c:numRef>
          </c:cat>
          <c:val>
            <c:numRef>
              <c:f>AL_Riohacha!$F$56:$F$79</c:f>
              <c:numCache>
                <c:formatCode>General</c:formatCode>
                <c:ptCount val="24"/>
                <c:pt idx="0">
                  <c:v>57</c:v>
                </c:pt>
                <c:pt idx="1">
                  <c:v>53</c:v>
                </c:pt>
                <c:pt idx="2">
                  <c:v>61</c:v>
                </c:pt>
                <c:pt idx="3">
                  <c:v>44</c:v>
                </c:pt>
                <c:pt idx="4">
                  <c:v>70</c:v>
                </c:pt>
                <c:pt idx="5">
                  <c:v>58</c:v>
                </c:pt>
                <c:pt idx="6">
                  <c:v>68</c:v>
                </c:pt>
                <c:pt idx="7">
                  <c:v>77</c:v>
                </c:pt>
                <c:pt idx="8">
                  <c:v>96</c:v>
                </c:pt>
                <c:pt idx="9">
                  <c:v>99</c:v>
                </c:pt>
                <c:pt idx="10">
                  <c:v>87</c:v>
                </c:pt>
                <c:pt idx="11">
                  <c:v>76</c:v>
                </c:pt>
                <c:pt idx="12">
                  <c:v>102</c:v>
                </c:pt>
                <c:pt idx="13">
                  <c:v>124</c:v>
                </c:pt>
                <c:pt idx="14">
                  <c:v>143</c:v>
                </c:pt>
                <c:pt idx="15">
                  <c:v>124</c:v>
                </c:pt>
                <c:pt idx="16">
                  <c:v>130</c:v>
                </c:pt>
                <c:pt idx="17">
                  <c:v>144</c:v>
                </c:pt>
                <c:pt idx="18">
                  <c:v>159</c:v>
                </c:pt>
                <c:pt idx="19">
                  <c:v>134</c:v>
                </c:pt>
                <c:pt idx="20">
                  <c:v>198</c:v>
                </c:pt>
                <c:pt idx="21">
                  <c:v>204</c:v>
                </c:pt>
                <c:pt idx="22">
                  <c:v>196</c:v>
                </c:pt>
                <c:pt idx="23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22-469A-909C-37B593452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237407"/>
        <c:axId val="342231583"/>
      </c:lineChart>
      <c:catAx>
        <c:axId val="3422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2231583"/>
        <c:crosses val="autoZero"/>
        <c:auto val="1"/>
        <c:lblAlgn val="ctr"/>
        <c:lblOffset val="100"/>
        <c:noMultiLvlLbl val="0"/>
      </c:catAx>
      <c:valAx>
        <c:axId val="3422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223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025303950730071"/>
          <c:y val="0.16274033613468189"/>
          <c:w val="0.36013087269606797"/>
          <c:h val="5.4937995640110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11338</xdr:colOff>
      <xdr:row>154</xdr:row>
      <xdr:rowOff>68034</xdr:rowOff>
    </xdr:from>
    <xdr:to>
      <xdr:col>14</xdr:col>
      <xdr:colOff>119496</xdr:colOff>
      <xdr:row>175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046C280-5145-48CE-8113-CC5CD1DC0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3495" y="34034309"/>
          <a:ext cx="6456894" cy="3854024"/>
        </a:xfrm>
        <a:prstGeom prst="rect">
          <a:avLst/>
        </a:prstGeom>
      </xdr:spPr>
    </xdr:pic>
    <xdr:clientData/>
  </xdr:twoCellAnchor>
  <xdr:twoCellAnchor editAs="oneCell">
    <xdr:from>
      <xdr:col>0</xdr:col>
      <xdr:colOff>49804</xdr:colOff>
      <xdr:row>154</xdr:row>
      <xdr:rowOff>24901</xdr:rowOff>
    </xdr:from>
    <xdr:to>
      <xdr:col>6</xdr:col>
      <xdr:colOff>697255</xdr:colOff>
      <xdr:row>174</xdr:row>
      <xdr:rowOff>12451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B77B7EB-9FF2-4BB7-9C13-F2B7B6645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04" y="33991176"/>
          <a:ext cx="6910294" cy="37228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429849</xdr:colOff>
      <xdr:row>35</xdr:row>
      <xdr:rowOff>1164</xdr:rowOff>
    </xdr:from>
    <xdr:to>
      <xdr:col>26</xdr:col>
      <xdr:colOff>277814</xdr:colOff>
      <xdr:row>64</xdr:row>
      <xdr:rowOff>1743</xdr:rowOff>
    </xdr:to>
    <xdr:pic>
      <xdr:nvPicPr>
        <xdr:cNvPr id="10" name="Imagen 9" descr="Imagen">
          <a:extLst>
            <a:ext uri="{FF2B5EF4-FFF2-40B4-BE49-F238E27FC236}">
              <a16:creationId xmlns:a16="http://schemas.microsoft.com/office/drawing/2014/main" id="{91F12D84-7FF0-443F-A6A0-623DC7387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1387" y="7499049"/>
          <a:ext cx="7541234" cy="6116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405442</xdr:colOff>
      <xdr:row>10</xdr:row>
      <xdr:rowOff>135089</xdr:rowOff>
    </xdr:from>
    <xdr:to>
      <xdr:col>26</xdr:col>
      <xdr:colOff>315211</xdr:colOff>
      <xdr:row>34</xdr:row>
      <xdr:rowOff>97692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0FDE9F6-3D5E-488C-A760-3BFB70D91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86980" y="2101147"/>
          <a:ext cx="7603038" cy="51402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527768</xdr:colOff>
      <xdr:row>5</xdr:row>
      <xdr:rowOff>103188</xdr:rowOff>
    </xdr:from>
    <xdr:to>
      <xdr:col>35</xdr:col>
      <xdr:colOff>10615</xdr:colOff>
      <xdr:row>14</xdr:row>
      <xdr:rowOff>134939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7832CD-6E6A-4FC5-BE1F-6EC7A47E06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20"/>
        <a:stretch/>
      </xdr:blipFill>
      <xdr:spPr>
        <a:xfrm>
          <a:off x="17331456" y="1468438"/>
          <a:ext cx="5674097" cy="2873376"/>
        </a:xfrm>
        <a:prstGeom prst="rect">
          <a:avLst/>
        </a:prstGeom>
      </xdr:spPr>
    </xdr:pic>
    <xdr:clientData/>
  </xdr:twoCellAnchor>
  <xdr:twoCellAnchor editAs="oneCell">
    <xdr:from>
      <xdr:col>26</xdr:col>
      <xdr:colOff>7940</xdr:colOff>
      <xdr:row>15</xdr:row>
      <xdr:rowOff>31749</xdr:rowOff>
    </xdr:from>
    <xdr:to>
      <xdr:col>34</xdr:col>
      <xdr:colOff>595025</xdr:colOff>
      <xdr:row>24</xdr:row>
      <xdr:rowOff>158750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FA39B4-6A98-4749-ACBC-640AC14DF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30753" y="4532312"/>
          <a:ext cx="5540085" cy="26828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11705</xdr:colOff>
      <xdr:row>16</xdr:row>
      <xdr:rowOff>245585</xdr:rowOff>
    </xdr:from>
    <xdr:to>
      <xdr:col>20</xdr:col>
      <xdr:colOff>101313</xdr:colOff>
      <xdr:row>31</xdr:row>
      <xdr:rowOff>157586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58CA76-A861-4C60-854A-3B06EA640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4592" y="4413331"/>
          <a:ext cx="5724116" cy="3018852"/>
        </a:xfrm>
        <a:prstGeom prst="rect">
          <a:avLst/>
        </a:prstGeom>
      </xdr:spPr>
    </xdr:pic>
    <xdr:clientData/>
  </xdr:twoCellAnchor>
  <xdr:twoCellAnchor editAs="oneCell">
    <xdr:from>
      <xdr:col>10</xdr:col>
      <xdr:colOff>608169</xdr:colOff>
      <xdr:row>6</xdr:row>
      <xdr:rowOff>11325</xdr:rowOff>
    </xdr:from>
    <xdr:to>
      <xdr:col>20</xdr:col>
      <xdr:colOff>134990</xdr:colOff>
      <xdr:row>19</xdr:row>
      <xdr:rowOff>8550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516146-D281-4FF9-AA4C-28C94DEC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0" y="1334987"/>
          <a:ext cx="5787385" cy="28506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812800</xdr:colOff>
      <xdr:row>2</xdr:row>
      <xdr:rowOff>149038</xdr:rowOff>
    </xdr:from>
    <xdr:to>
      <xdr:col>14</xdr:col>
      <xdr:colOff>152400</xdr:colOff>
      <xdr:row>26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2CA7D2-A7EF-4FED-BF90-F1D0BCDDC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102973</xdr:colOff>
      <xdr:row>29</xdr:row>
      <xdr:rowOff>68753</xdr:rowOff>
    </xdr:from>
    <xdr:to>
      <xdr:col>22</xdr:col>
      <xdr:colOff>523445</xdr:colOff>
      <xdr:row>50</xdr:row>
      <xdr:rowOff>17162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EF2E1E0-1B73-4501-90E8-4827EE955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723900</xdr:colOff>
      <xdr:row>56</xdr:row>
      <xdr:rowOff>14705</xdr:rowOff>
    </xdr:from>
    <xdr:to>
      <xdr:col>10</xdr:col>
      <xdr:colOff>622300</xdr:colOff>
      <xdr:row>78</xdr:row>
      <xdr:rowOff>14706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CC5AD84-6432-40C7-8754-BFA0935D3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688714</xdr:colOff>
      <xdr:row>3</xdr:row>
      <xdr:rowOff>1</xdr:rowOff>
    </xdr:from>
    <xdr:to>
      <xdr:col>16</xdr:col>
      <xdr:colOff>596123</xdr:colOff>
      <xdr:row>25</xdr:row>
      <xdr:rowOff>168471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D94F47-4F96-44B8-A83D-6CCC695B9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364651</xdr:colOff>
      <xdr:row>31</xdr:row>
      <xdr:rowOff>54330</xdr:rowOff>
    </xdr:from>
    <xdr:to>
      <xdr:col>23</xdr:col>
      <xdr:colOff>127000</xdr:colOff>
      <xdr:row>52</xdr:row>
      <xdr:rowOff>12960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85DCEA-F17D-44B3-B952-823D19864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204972</xdr:colOff>
      <xdr:row>57</xdr:row>
      <xdr:rowOff>49463</xdr:rowOff>
    </xdr:from>
    <xdr:to>
      <xdr:col>9</xdr:col>
      <xdr:colOff>1736531</xdr:colOff>
      <xdr:row>81</xdr:row>
      <xdr:rowOff>25919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E76AE59-0F7B-44BB-9991-E3C1DD383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26"/>
  <sheetViews>
    <sheetView topLeftCell="A140" zoomScale="79" workbookViewId="0">
      <selection activeCell="I146" sqref="I146"/>
    </sheetView>
  </sheetViews>
  <sheetFormatPr baseColWidth="10" defaultColWidth="11" defaultRowHeight="14.5"/>
  <cols>
    <col min="1" max="1" width="23.90625" customWidth="1"/>
    <col min="2" max="4" width="11.54296875"/>
    <col min="5" max="5" width="19.36328125" customWidth="1"/>
    <col min="6" max="8" width="11.54296875"/>
    <col min="9" max="9" width="21.36328125" customWidth="1"/>
    <col min="10" max="16" width="11.54296875"/>
  </cols>
  <sheetData>
    <row r="1" spans="1:16" ht="26" customHeight="1">
      <c r="A1" s="328" t="s">
        <v>0</v>
      </c>
      <c r="B1" s="329"/>
      <c r="C1" s="329"/>
    </row>
    <row r="2" spans="1:16">
      <c r="B2" s="47"/>
      <c r="C2" s="47"/>
      <c r="E2" s="47"/>
    </row>
    <row r="3" spans="1:16">
      <c r="A3" s="327" t="s">
        <v>360</v>
      </c>
      <c r="B3" s="327"/>
      <c r="C3" s="327"/>
      <c r="D3" s="327"/>
      <c r="E3" s="327" t="s">
        <v>1</v>
      </c>
      <c r="F3" s="327" t="s">
        <v>2</v>
      </c>
      <c r="G3" s="327"/>
      <c r="H3" s="327" t="s">
        <v>3</v>
      </c>
      <c r="I3" s="327"/>
      <c r="J3" s="327"/>
      <c r="K3" s="327" t="s">
        <v>4</v>
      </c>
      <c r="L3" s="327"/>
      <c r="M3" s="327"/>
      <c r="N3" s="327" t="s">
        <v>5</v>
      </c>
      <c r="O3" s="327"/>
      <c r="P3" s="327"/>
    </row>
    <row r="4" spans="1:16">
      <c r="A4" s="327"/>
      <c r="B4" s="327"/>
      <c r="C4" s="327"/>
      <c r="D4" s="327"/>
      <c r="E4" s="327"/>
      <c r="F4" s="57" t="s">
        <v>6</v>
      </c>
      <c r="G4" s="57" t="s">
        <v>7</v>
      </c>
      <c r="H4" s="57" t="s">
        <v>1</v>
      </c>
      <c r="I4" s="57" t="s">
        <v>6</v>
      </c>
      <c r="J4" s="57" t="s">
        <v>7</v>
      </c>
      <c r="K4" s="57" t="s">
        <v>1</v>
      </c>
      <c r="L4" s="57" t="s">
        <v>6</v>
      </c>
      <c r="M4" s="57" t="s">
        <v>7</v>
      </c>
      <c r="N4" s="57" t="s">
        <v>1</v>
      </c>
      <c r="O4" s="57" t="s">
        <v>6</v>
      </c>
      <c r="P4" s="57" t="s">
        <v>7</v>
      </c>
    </row>
    <row r="5" spans="1:16">
      <c r="A5" s="340" t="s">
        <v>8</v>
      </c>
      <c r="B5" s="341" t="s">
        <v>9</v>
      </c>
      <c r="C5" s="340" t="s">
        <v>10</v>
      </c>
      <c r="D5" s="59">
        <v>0</v>
      </c>
      <c r="E5" s="60">
        <v>3970</v>
      </c>
      <c r="F5" s="60">
        <v>1999</v>
      </c>
      <c r="G5" s="61">
        <v>1971</v>
      </c>
      <c r="H5" s="60">
        <v>2416</v>
      </c>
      <c r="I5" s="60">
        <v>1213</v>
      </c>
      <c r="J5" s="61">
        <v>1203</v>
      </c>
      <c r="K5" s="60">
        <v>346</v>
      </c>
      <c r="L5" s="60">
        <v>189</v>
      </c>
      <c r="M5" s="61">
        <v>157</v>
      </c>
      <c r="N5" s="60">
        <v>1208</v>
      </c>
      <c r="O5" s="60">
        <v>597</v>
      </c>
      <c r="P5" s="61">
        <v>611</v>
      </c>
    </row>
    <row r="6" spans="1:16" ht="15">
      <c r="A6" s="340"/>
      <c r="B6" s="341"/>
      <c r="C6" s="340"/>
      <c r="D6" s="58">
        <v>1</v>
      </c>
      <c r="E6" s="62">
        <v>4108</v>
      </c>
      <c r="F6" s="62">
        <v>2066</v>
      </c>
      <c r="G6" s="62">
        <v>2042</v>
      </c>
      <c r="H6" s="62">
        <v>2382</v>
      </c>
      <c r="I6" s="62">
        <v>1177</v>
      </c>
      <c r="J6" s="62">
        <v>1205</v>
      </c>
      <c r="K6" s="62">
        <v>375</v>
      </c>
      <c r="L6" s="62">
        <v>188</v>
      </c>
      <c r="M6" s="62">
        <v>187</v>
      </c>
      <c r="N6" s="62">
        <v>1351</v>
      </c>
      <c r="O6" s="62">
        <v>701</v>
      </c>
      <c r="P6" s="62">
        <v>650</v>
      </c>
    </row>
    <row r="7" spans="1:16">
      <c r="A7" s="340"/>
      <c r="B7" s="341"/>
      <c r="C7" s="340"/>
      <c r="D7" s="59">
        <v>2</v>
      </c>
      <c r="E7" s="60">
        <v>4216</v>
      </c>
      <c r="F7" s="60">
        <v>2100</v>
      </c>
      <c r="G7" s="61">
        <v>2116</v>
      </c>
      <c r="H7" s="60">
        <v>2455</v>
      </c>
      <c r="I7" s="60">
        <v>1263</v>
      </c>
      <c r="J7" s="61">
        <v>1192</v>
      </c>
      <c r="K7" s="60">
        <v>375</v>
      </c>
      <c r="L7" s="60">
        <v>193</v>
      </c>
      <c r="M7" s="61">
        <v>182</v>
      </c>
      <c r="N7" s="60">
        <v>1386</v>
      </c>
      <c r="O7" s="60">
        <v>644</v>
      </c>
      <c r="P7" s="61">
        <v>742</v>
      </c>
    </row>
    <row r="8" spans="1:16" ht="15">
      <c r="A8" s="340"/>
      <c r="B8" s="341"/>
      <c r="C8" s="340"/>
      <c r="D8" s="58">
        <v>3</v>
      </c>
      <c r="E8" s="62">
        <v>4207</v>
      </c>
      <c r="F8" s="62">
        <v>2141</v>
      </c>
      <c r="G8" s="62">
        <v>2066</v>
      </c>
      <c r="H8" s="62">
        <v>2422</v>
      </c>
      <c r="I8" s="62">
        <v>1254</v>
      </c>
      <c r="J8" s="62">
        <v>1168</v>
      </c>
      <c r="K8" s="62">
        <v>372</v>
      </c>
      <c r="L8" s="62">
        <v>185</v>
      </c>
      <c r="M8" s="62">
        <v>187</v>
      </c>
      <c r="N8" s="62">
        <v>1413</v>
      </c>
      <c r="O8" s="62">
        <v>702</v>
      </c>
      <c r="P8" s="62">
        <v>711</v>
      </c>
    </row>
    <row r="9" spans="1:16">
      <c r="A9" s="340"/>
      <c r="B9" s="341"/>
      <c r="C9" s="340"/>
      <c r="D9" s="59">
        <v>4</v>
      </c>
      <c r="E9" s="60">
        <v>3955</v>
      </c>
      <c r="F9" s="60">
        <v>2037</v>
      </c>
      <c r="G9" s="61">
        <v>1918</v>
      </c>
      <c r="H9" s="60">
        <v>2271</v>
      </c>
      <c r="I9" s="60">
        <v>1178</v>
      </c>
      <c r="J9" s="61">
        <v>1093</v>
      </c>
      <c r="K9" s="60">
        <v>323</v>
      </c>
      <c r="L9" s="60">
        <v>156</v>
      </c>
      <c r="M9" s="61">
        <v>167</v>
      </c>
      <c r="N9" s="60">
        <v>1361</v>
      </c>
      <c r="O9" s="60">
        <v>703</v>
      </c>
      <c r="P9" s="61">
        <v>658</v>
      </c>
    </row>
    <row r="10" spans="1:16" ht="28">
      <c r="A10" s="340"/>
      <c r="B10" s="341"/>
      <c r="C10" s="340"/>
      <c r="D10" s="58" t="s">
        <v>11</v>
      </c>
      <c r="E10" s="62">
        <v>20456</v>
      </c>
      <c r="F10" s="62">
        <v>10343</v>
      </c>
      <c r="G10" s="62">
        <v>10113</v>
      </c>
      <c r="H10" s="62">
        <v>11946</v>
      </c>
      <c r="I10" s="62">
        <v>6085</v>
      </c>
      <c r="J10" s="62">
        <v>5861</v>
      </c>
      <c r="K10" s="62">
        <v>1791</v>
      </c>
      <c r="L10" s="62">
        <v>911</v>
      </c>
      <c r="M10" s="62">
        <v>880</v>
      </c>
      <c r="N10" s="62">
        <v>6719</v>
      </c>
      <c r="O10" s="62">
        <v>3347</v>
      </c>
      <c r="P10" s="62">
        <v>3372</v>
      </c>
    </row>
    <row r="11" spans="1:16">
      <c r="A11" s="340"/>
      <c r="B11" s="341"/>
      <c r="C11" s="340" t="s">
        <v>12</v>
      </c>
      <c r="D11" s="59">
        <v>5</v>
      </c>
      <c r="E11" s="60">
        <v>4051</v>
      </c>
      <c r="F11" s="60">
        <v>2094</v>
      </c>
      <c r="G11" s="61">
        <v>1957</v>
      </c>
      <c r="H11" s="60">
        <v>2315</v>
      </c>
      <c r="I11" s="60">
        <v>1223</v>
      </c>
      <c r="J11" s="61">
        <v>1092</v>
      </c>
      <c r="K11" s="60">
        <v>423</v>
      </c>
      <c r="L11" s="60">
        <v>225</v>
      </c>
      <c r="M11" s="61">
        <v>198</v>
      </c>
      <c r="N11" s="60">
        <v>1313</v>
      </c>
      <c r="O11" s="60">
        <v>646</v>
      </c>
      <c r="P11" s="61">
        <v>667</v>
      </c>
    </row>
    <row r="12" spans="1:16" ht="15">
      <c r="A12" s="340"/>
      <c r="B12" s="341"/>
      <c r="C12" s="340"/>
      <c r="D12" s="58">
        <v>6</v>
      </c>
      <c r="E12" s="62">
        <v>4235</v>
      </c>
      <c r="F12" s="62">
        <v>2132</v>
      </c>
      <c r="G12" s="62">
        <v>2103</v>
      </c>
      <c r="H12" s="62">
        <v>2490</v>
      </c>
      <c r="I12" s="62">
        <v>1254</v>
      </c>
      <c r="J12" s="62">
        <v>1236</v>
      </c>
      <c r="K12" s="62">
        <v>386</v>
      </c>
      <c r="L12" s="62">
        <v>189</v>
      </c>
      <c r="M12" s="62">
        <v>197</v>
      </c>
      <c r="N12" s="62">
        <v>1359</v>
      </c>
      <c r="O12" s="62">
        <v>689</v>
      </c>
      <c r="P12" s="62">
        <v>670</v>
      </c>
    </row>
    <row r="13" spans="1:16">
      <c r="A13" s="340"/>
      <c r="B13" s="341"/>
      <c r="C13" s="340"/>
      <c r="D13" s="59">
        <v>7</v>
      </c>
      <c r="E13" s="60">
        <v>4042</v>
      </c>
      <c r="F13" s="60">
        <v>2070</v>
      </c>
      <c r="G13" s="61">
        <v>1972</v>
      </c>
      <c r="H13" s="60">
        <v>2461</v>
      </c>
      <c r="I13" s="60">
        <v>1248</v>
      </c>
      <c r="J13" s="61">
        <v>1213</v>
      </c>
      <c r="K13" s="60">
        <v>376</v>
      </c>
      <c r="L13" s="60">
        <v>190</v>
      </c>
      <c r="M13" s="61">
        <v>186</v>
      </c>
      <c r="N13" s="60">
        <v>1205</v>
      </c>
      <c r="O13" s="60">
        <v>632</v>
      </c>
      <c r="P13" s="61">
        <v>573</v>
      </c>
    </row>
    <row r="14" spans="1:16" ht="15">
      <c r="A14" s="340"/>
      <c r="B14" s="341"/>
      <c r="C14" s="340"/>
      <c r="D14" s="58">
        <v>8</v>
      </c>
      <c r="E14" s="62">
        <v>3944</v>
      </c>
      <c r="F14" s="62">
        <v>1977</v>
      </c>
      <c r="G14" s="62">
        <v>1967</v>
      </c>
      <c r="H14" s="62">
        <v>2421</v>
      </c>
      <c r="I14" s="62">
        <v>1227</v>
      </c>
      <c r="J14" s="62">
        <v>1194</v>
      </c>
      <c r="K14" s="62">
        <v>373</v>
      </c>
      <c r="L14" s="62">
        <v>182</v>
      </c>
      <c r="M14" s="62">
        <v>191</v>
      </c>
      <c r="N14" s="62">
        <v>1150</v>
      </c>
      <c r="O14" s="62">
        <v>568</v>
      </c>
      <c r="P14" s="62">
        <v>582</v>
      </c>
    </row>
    <row r="15" spans="1:16">
      <c r="A15" s="340"/>
      <c r="B15" s="341"/>
      <c r="C15" s="340"/>
      <c r="D15" s="59">
        <v>9</v>
      </c>
      <c r="E15" s="60">
        <v>3959</v>
      </c>
      <c r="F15" s="60">
        <v>2023</v>
      </c>
      <c r="G15" s="61">
        <v>1936</v>
      </c>
      <c r="H15" s="60">
        <v>2421</v>
      </c>
      <c r="I15" s="60">
        <v>1255</v>
      </c>
      <c r="J15" s="61">
        <v>1166</v>
      </c>
      <c r="K15" s="60">
        <v>397</v>
      </c>
      <c r="L15" s="60">
        <v>197</v>
      </c>
      <c r="M15" s="61">
        <v>200</v>
      </c>
      <c r="N15" s="60">
        <v>1141</v>
      </c>
      <c r="O15" s="60">
        <v>571</v>
      </c>
      <c r="P15" s="61">
        <v>570</v>
      </c>
    </row>
    <row r="16" spans="1:16" ht="28">
      <c r="A16" s="340"/>
      <c r="B16" s="341"/>
      <c r="C16" s="340"/>
      <c r="D16" s="58" t="s">
        <v>11</v>
      </c>
      <c r="E16" s="62">
        <v>20231</v>
      </c>
      <c r="F16" s="62">
        <v>10296</v>
      </c>
      <c r="G16" s="62">
        <v>9935</v>
      </c>
      <c r="H16" s="62">
        <v>12108</v>
      </c>
      <c r="I16" s="62">
        <v>6207</v>
      </c>
      <c r="J16" s="62">
        <v>5901</v>
      </c>
      <c r="K16" s="62">
        <v>1955</v>
      </c>
      <c r="L16" s="62">
        <v>983</v>
      </c>
      <c r="M16" s="62">
        <v>972</v>
      </c>
      <c r="N16" s="62">
        <v>6168</v>
      </c>
      <c r="O16" s="62">
        <v>3106</v>
      </c>
      <c r="P16" s="62">
        <v>3062</v>
      </c>
    </row>
    <row r="17" spans="1:16">
      <c r="A17" s="340"/>
      <c r="B17" s="341"/>
      <c r="C17" s="340" t="s">
        <v>13</v>
      </c>
      <c r="D17" s="59">
        <v>10</v>
      </c>
      <c r="E17" s="60">
        <v>3849</v>
      </c>
      <c r="F17" s="60">
        <v>1980</v>
      </c>
      <c r="G17" s="61">
        <v>1869</v>
      </c>
      <c r="H17" s="60">
        <v>2378</v>
      </c>
      <c r="I17" s="60">
        <v>1232</v>
      </c>
      <c r="J17" s="61">
        <v>1146</v>
      </c>
      <c r="K17" s="60">
        <v>368</v>
      </c>
      <c r="L17" s="60">
        <v>178</v>
      </c>
      <c r="M17" s="61">
        <v>190</v>
      </c>
      <c r="N17" s="60">
        <v>1103</v>
      </c>
      <c r="O17" s="60">
        <v>570</v>
      </c>
      <c r="P17" s="61">
        <v>533</v>
      </c>
    </row>
    <row r="18" spans="1:16" ht="15">
      <c r="A18" s="340"/>
      <c r="B18" s="341"/>
      <c r="C18" s="340"/>
      <c r="D18" s="58">
        <v>11</v>
      </c>
      <c r="E18" s="62">
        <v>3874</v>
      </c>
      <c r="F18" s="62">
        <v>1977</v>
      </c>
      <c r="G18" s="62">
        <v>1897</v>
      </c>
      <c r="H18" s="62">
        <v>2439</v>
      </c>
      <c r="I18" s="62">
        <v>1246</v>
      </c>
      <c r="J18" s="62">
        <v>1193</v>
      </c>
      <c r="K18" s="62">
        <v>366</v>
      </c>
      <c r="L18" s="62">
        <v>198</v>
      </c>
      <c r="M18" s="62">
        <v>168</v>
      </c>
      <c r="N18" s="62">
        <v>1069</v>
      </c>
      <c r="O18" s="62">
        <v>533</v>
      </c>
      <c r="P18" s="62">
        <v>536</v>
      </c>
    </row>
    <row r="19" spans="1:16">
      <c r="A19" s="340"/>
      <c r="B19" s="341"/>
      <c r="C19" s="340"/>
      <c r="D19" s="59">
        <v>12</v>
      </c>
      <c r="E19" s="60">
        <v>3576</v>
      </c>
      <c r="F19" s="60">
        <v>1776</v>
      </c>
      <c r="G19" s="61">
        <v>1800</v>
      </c>
      <c r="H19" s="60">
        <v>2248</v>
      </c>
      <c r="I19" s="60">
        <v>1105</v>
      </c>
      <c r="J19" s="61">
        <v>1143</v>
      </c>
      <c r="K19" s="60">
        <v>342</v>
      </c>
      <c r="L19" s="60">
        <v>171</v>
      </c>
      <c r="M19" s="61">
        <v>171</v>
      </c>
      <c r="N19" s="60">
        <v>986</v>
      </c>
      <c r="O19" s="60">
        <v>500</v>
      </c>
      <c r="P19" s="61">
        <v>486</v>
      </c>
    </row>
    <row r="20" spans="1:16" ht="15">
      <c r="A20" s="340"/>
      <c r="B20" s="341"/>
      <c r="C20" s="340"/>
      <c r="D20" s="58">
        <v>13</v>
      </c>
      <c r="E20" s="62">
        <v>3631</v>
      </c>
      <c r="F20" s="62">
        <v>1853</v>
      </c>
      <c r="G20" s="62">
        <v>1778</v>
      </c>
      <c r="H20" s="62">
        <v>2301</v>
      </c>
      <c r="I20" s="62">
        <v>1162</v>
      </c>
      <c r="J20" s="62">
        <v>1139</v>
      </c>
      <c r="K20" s="62">
        <v>360</v>
      </c>
      <c r="L20" s="62">
        <v>207</v>
      </c>
      <c r="M20" s="62">
        <v>153</v>
      </c>
      <c r="N20" s="62">
        <v>970</v>
      </c>
      <c r="O20" s="62">
        <v>484</v>
      </c>
      <c r="P20" s="62">
        <v>486</v>
      </c>
    </row>
    <row r="21" spans="1:16">
      <c r="A21" s="340"/>
      <c r="B21" s="341"/>
      <c r="C21" s="340"/>
      <c r="D21" s="59">
        <v>14</v>
      </c>
      <c r="E21" s="60">
        <v>3508</v>
      </c>
      <c r="F21" s="60">
        <v>1783</v>
      </c>
      <c r="G21" s="61">
        <v>1725</v>
      </c>
      <c r="H21" s="60">
        <v>2269</v>
      </c>
      <c r="I21" s="60">
        <v>1120</v>
      </c>
      <c r="J21" s="61">
        <v>1149</v>
      </c>
      <c r="K21" s="60">
        <v>342</v>
      </c>
      <c r="L21" s="60">
        <v>215</v>
      </c>
      <c r="M21" s="61">
        <v>127</v>
      </c>
      <c r="N21" s="60">
        <v>897</v>
      </c>
      <c r="O21" s="60">
        <v>448</v>
      </c>
      <c r="P21" s="61">
        <v>449</v>
      </c>
    </row>
    <row r="22" spans="1:16" ht="28">
      <c r="A22" s="340"/>
      <c r="B22" s="341"/>
      <c r="C22" s="340"/>
      <c r="D22" s="58" t="s">
        <v>11</v>
      </c>
      <c r="E22" s="62">
        <v>18438</v>
      </c>
      <c r="F22" s="62">
        <v>9369</v>
      </c>
      <c r="G22" s="62">
        <v>9069</v>
      </c>
      <c r="H22" s="62">
        <v>11635</v>
      </c>
      <c r="I22" s="62">
        <v>5865</v>
      </c>
      <c r="J22" s="62">
        <v>5770</v>
      </c>
      <c r="K22" s="62">
        <v>1778</v>
      </c>
      <c r="L22" s="62">
        <v>969</v>
      </c>
      <c r="M22" s="62">
        <v>809</v>
      </c>
      <c r="N22" s="62">
        <v>5025</v>
      </c>
      <c r="O22" s="62">
        <v>2535</v>
      </c>
      <c r="P22" s="62">
        <v>2490</v>
      </c>
    </row>
    <row r="23" spans="1:16">
      <c r="A23" s="340"/>
      <c r="B23" s="341"/>
      <c r="C23" s="340" t="s">
        <v>14</v>
      </c>
      <c r="D23" s="59">
        <v>15</v>
      </c>
      <c r="E23" s="60">
        <v>3445</v>
      </c>
      <c r="F23" s="60">
        <v>1690</v>
      </c>
      <c r="G23" s="61">
        <v>1755</v>
      </c>
      <c r="H23" s="60">
        <v>2275</v>
      </c>
      <c r="I23" s="60">
        <v>1130</v>
      </c>
      <c r="J23" s="61">
        <v>1145</v>
      </c>
      <c r="K23" s="60">
        <v>323</v>
      </c>
      <c r="L23" s="60">
        <v>160</v>
      </c>
      <c r="M23" s="61">
        <v>163</v>
      </c>
      <c r="N23" s="60">
        <v>847</v>
      </c>
      <c r="O23" s="60">
        <v>400</v>
      </c>
      <c r="P23" s="61">
        <v>447</v>
      </c>
    </row>
    <row r="24" spans="1:16" ht="15">
      <c r="A24" s="340"/>
      <c r="B24" s="341"/>
      <c r="C24" s="340"/>
      <c r="D24" s="58">
        <v>16</v>
      </c>
      <c r="E24" s="62">
        <v>3358</v>
      </c>
      <c r="F24" s="62">
        <v>1633</v>
      </c>
      <c r="G24" s="62">
        <v>1725</v>
      </c>
      <c r="H24" s="62">
        <v>2152</v>
      </c>
      <c r="I24" s="62">
        <v>1042</v>
      </c>
      <c r="J24" s="62">
        <v>1110</v>
      </c>
      <c r="K24" s="62">
        <v>339</v>
      </c>
      <c r="L24" s="62">
        <v>174</v>
      </c>
      <c r="M24" s="62">
        <v>165</v>
      </c>
      <c r="N24" s="62">
        <v>867</v>
      </c>
      <c r="O24" s="62">
        <v>417</v>
      </c>
      <c r="P24" s="62">
        <v>450</v>
      </c>
    </row>
    <row r="25" spans="1:16">
      <c r="A25" s="340"/>
      <c r="B25" s="341"/>
      <c r="C25" s="340"/>
      <c r="D25" s="59">
        <v>17</v>
      </c>
      <c r="E25" s="60">
        <v>3599</v>
      </c>
      <c r="F25" s="60">
        <v>1765</v>
      </c>
      <c r="G25" s="61">
        <v>1834</v>
      </c>
      <c r="H25" s="60">
        <v>2413</v>
      </c>
      <c r="I25" s="60">
        <v>1176</v>
      </c>
      <c r="J25" s="61">
        <v>1237</v>
      </c>
      <c r="K25" s="60">
        <v>352</v>
      </c>
      <c r="L25" s="60">
        <v>171</v>
      </c>
      <c r="M25" s="61">
        <v>181</v>
      </c>
      <c r="N25" s="60">
        <v>834</v>
      </c>
      <c r="O25" s="60">
        <v>418</v>
      </c>
      <c r="P25" s="61">
        <v>416</v>
      </c>
    </row>
    <row r="26" spans="1:16" ht="15">
      <c r="A26" s="340"/>
      <c r="B26" s="341"/>
      <c r="C26" s="340"/>
      <c r="D26" s="58">
        <v>18</v>
      </c>
      <c r="E26" s="62">
        <v>3959</v>
      </c>
      <c r="F26" s="62">
        <v>2028</v>
      </c>
      <c r="G26" s="62">
        <v>1931</v>
      </c>
      <c r="H26" s="62">
        <v>2671</v>
      </c>
      <c r="I26" s="62">
        <v>1359</v>
      </c>
      <c r="J26" s="62">
        <v>1312</v>
      </c>
      <c r="K26" s="62">
        <v>336</v>
      </c>
      <c r="L26" s="62">
        <v>181</v>
      </c>
      <c r="M26" s="62">
        <v>155</v>
      </c>
      <c r="N26" s="62">
        <v>952</v>
      </c>
      <c r="O26" s="62">
        <v>488</v>
      </c>
      <c r="P26" s="62">
        <v>464</v>
      </c>
    </row>
    <row r="27" spans="1:16">
      <c r="A27" s="340"/>
      <c r="B27" s="341"/>
      <c r="C27" s="340"/>
      <c r="D27" s="59">
        <v>19</v>
      </c>
      <c r="E27" s="60">
        <v>3545</v>
      </c>
      <c r="F27" s="60">
        <v>1781</v>
      </c>
      <c r="G27" s="61">
        <v>1764</v>
      </c>
      <c r="H27" s="60">
        <v>2397</v>
      </c>
      <c r="I27" s="60">
        <v>1156</v>
      </c>
      <c r="J27" s="61">
        <v>1241</v>
      </c>
      <c r="K27" s="60">
        <v>250</v>
      </c>
      <c r="L27" s="60">
        <v>135</v>
      </c>
      <c r="M27" s="61">
        <v>115</v>
      </c>
      <c r="N27" s="60">
        <v>898</v>
      </c>
      <c r="O27" s="60">
        <v>490</v>
      </c>
      <c r="P27" s="61">
        <v>408</v>
      </c>
    </row>
    <row r="28" spans="1:16" ht="28">
      <c r="A28" s="340"/>
      <c r="B28" s="341"/>
      <c r="C28" s="340"/>
      <c r="D28" s="58" t="s">
        <v>11</v>
      </c>
      <c r="E28" s="62">
        <v>17906</v>
      </c>
      <c r="F28" s="62">
        <v>8897</v>
      </c>
      <c r="G28" s="62">
        <v>9009</v>
      </c>
      <c r="H28" s="62">
        <v>11908</v>
      </c>
      <c r="I28" s="62">
        <v>5863</v>
      </c>
      <c r="J28" s="62">
        <v>6045</v>
      </c>
      <c r="K28" s="62">
        <v>1600</v>
      </c>
      <c r="L28" s="62">
        <v>821</v>
      </c>
      <c r="M28" s="62">
        <v>779</v>
      </c>
      <c r="N28" s="62">
        <v>4398</v>
      </c>
      <c r="O28" s="62">
        <v>2213</v>
      </c>
      <c r="P28" s="62">
        <v>2185</v>
      </c>
    </row>
    <row r="29" spans="1:16">
      <c r="A29" s="340"/>
      <c r="B29" s="341"/>
      <c r="C29" s="340" t="s">
        <v>15</v>
      </c>
      <c r="D29" s="59">
        <v>20</v>
      </c>
      <c r="E29" s="60">
        <v>3488</v>
      </c>
      <c r="F29" s="60">
        <v>1767</v>
      </c>
      <c r="G29" s="61">
        <v>1721</v>
      </c>
      <c r="H29" s="60">
        <v>2380</v>
      </c>
      <c r="I29" s="60">
        <v>1185</v>
      </c>
      <c r="J29" s="61">
        <v>1195</v>
      </c>
      <c r="K29" s="60">
        <v>261</v>
      </c>
      <c r="L29" s="60">
        <v>138</v>
      </c>
      <c r="M29" s="61">
        <v>123</v>
      </c>
      <c r="N29" s="60">
        <v>847</v>
      </c>
      <c r="O29" s="60">
        <v>444</v>
      </c>
      <c r="P29" s="61">
        <v>403</v>
      </c>
    </row>
    <row r="30" spans="1:16" ht="15">
      <c r="A30" s="340"/>
      <c r="B30" s="341"/>
      <c r="C30" s="340"/>
      <c r="D30" s="58">
        <v>21</v>
      </c>
      <c r="E30" s="62">
        <v>3233</v>
      </c>
      <c r="F30" s="62">
        <v>1624</v>
      </c>
      <c r="G30" s="62">
        <v>1609</v>
      </c>
      <c r="H30" s="62">
        <v>2200</v>
      </c>
      <c r="I30" s="62">
        <v>1082</v>
      </c>
      <c r="J30" s="62">
        <v>1118</v>
      </c>
      <c r="K30" s="62">
        <v>262</v>
      </c>
      <c r="L30" s="62">
        <v>133</v>
      </c>
      <c r="M30" s="62">
        <v>129</v>
      </c>
      <c r="N30" s="62">
        <v>771</v>
      </c>
      <c r="O30" s="62">
        <v>409</v>
      </c>
      <c r="P30" s="62">
        <v>362</v>
      </c>
    </row>
    <row r="31" spans="1:16">
      <c r="A31" s="340"/>
      <c r="B31" s="341"/>
      <c r="C31" s="340"/>
      <c r="D31" s="59">
        <v>22</v>
      </c>
      <c r="E31" s="60">
        <v>3448</v>
      </c>
      <c r="F31" s="60">
        <v>1723</v>
      </c>
      <c r="G31" s="61">
        <v>1725</v>
      </c>
      <c r="H31" s="60">
        <v>2381</v>
      </c>
      <c r="I31" s="60">
        <v>1187</v>
      </c>
      <c r="J31" s="61">
        <v>1194</v>
      </c>
      <c r="K31" s="60">
        <v>290</v>
      </c>
      <c r="L31" s="60">
        <v>136</v>
      </c>
      <c r="M31" s="61">
        <v>154</v>
      </c>
      <c r="N31" s="60">
        <v>777</v>
      </c>
      <c r="O31" s="60">
        <v>400</v>
      </c>
      <c r="P31" s="61">
        <v>377</v>
      </c>
    </row>
    <row r="32" spans="1:16" ht="15">
      <c r="A32" s="340"/>
      <c r="B32" s="341"/>
      <c r="C32" s="340"/>
      <c r="D32" s="58">
        <v>23</v>
      </c>
      <c r="E32" s="62">
        <v>3440</v>
      </c>
      <c r="F32" s="62">
        <v>1658</v>
      </c>
      <c r="G32" s="62">
        <v>1782</v>
      </c>
      <c r="H32" s="62">
        <v>2449</v>
      </c>
      <c r="I32" s="62">
        <v>1165</v>
      </c>
      <c r="J32" s="62">
        <v>1284</v>
      </c>
      <c r="K32" s="62">
        <v>263</v>
      </c>
      <c r="L32" s="62">
        <v>136</v>
      </c>
      <c r="M32" s="62">
        <v>127</v>
      </c>
      <c r="N32" s="62">
        <v>728</v>
      </c>
      <c r="O32" s="62">
        <v>357</v>
      </c>
      <c r="P32" s="62">
        <v>371</v>
      </c>
    </row>
    <row r="33" spans="1:16">
      <c r="A33" s="340"/>
      <c r="B33" s="341"/>
      <c r="C33" s="340"/>
      <c r="D33" s="59">
        <v>24</v>
      </c>
      <c r="E33" s="60">
        <v>3214</v>
      </c>
      <c r="F33" s="60">
        <v>1527</v>
      </c>
      <c r="G33" s="61">
        <v>1687</v>
      </c>
      <c r="H33" s="60">
        <v>2284</v>
      </c>
      <c r="I33" s="60">
        <v>1065</v>
      </c>
      <c r="J33" s="61">
        <v>1219</v>
      </c>
      <c r="K33" s="60">
        <v>260</v>
      </c>
      <c r="L33" s="60">
        <v>129</v>
      </c>
      <c r="M33" s="61">
        <v>131</v>
      </c>
      <c r="N33" s="60">
        <v>670</v>
      </c>
      <c r="O33" s="60">
        <v>333</v>
      </c>
      <c r="P33" s="61">
        <v>337</v>
      </c>
    </row>
    <row r="34" spans="1:16" ht="28">
      <c r="A34" s="340"/>
      <c r="B34" s="341"/>
      <c r="C34" s="340"/>
      <c r="D34" s="58" t="s">
        <v>11</v>
      </c>
      <c r="E34" s="62">
        <v>16823</v>
      </c>
      <c r="F34" s="62">
        <v>8299</v>
      </c>
      <c r="G34" s="62">
        <v>8524</v>
      </c>
      <c r="H34" s="62">
        <v>11694</v>
      </c>
      <c r="I34" s="62">
        <v>5684</v>
      </c>
      <c r="J34" s="62">
        <v>6010</v>
      </c>
      <c r="K34" s="62">
        <v>1336</v>
      </c>
      <c r="L34" s="62">
        <v>672</v>
      </c>
      <c r="M34" s="62">
        <v>664</v>
      </c>
      <c r="N34" s="62">
        <v>3793</v>
      </c>
      <c r="O34" s="62">
        <v>1943</v>
      </c>
      <c r="P34" s="62">
        <v>1850</v>
      </c>
    </row>
    <row r="35" spans="1:16">
      <c r="A35" s="340"/>
      <c r="B35" s="341"/>
      <c r="C35" s="340" t="s">
        <v>16</v>
      </c>
      <c r="D35" s="59">
        <v>25</v>
      </c>
      <c r="E35" s="60">
        <v>3226</v>
      </c>
      <c r="F35" s="60">
        <v>1555</v>
      </c>
      <c r="G35" s="61">
        <v>1671</v>
      </c>
      <c r="H35" s="60">
        <v>2331</v>
      </c>
      <c r="I35" s="60">
        <v>1119</v>
      </c>
      <c r="J35" s="61">
        <v>1212</v>
      </c>
      <c r="K35" s="60">
        <v>248</v>
      </c>
      <c r="L35" s="60">
        <v>117</v>
      </c>
      <c r="M35" s="61">
        <v>131</v>
      </c>
      <c r="N35" s="60">
        <v>647</v>
      </c>
      <c r="O35" s="60">
        <v>319</v>
      </c>
      <c r="P35" s="61">
        <v>328</v>
      </c>
    </row>
    <row r="36" spans="1:16" ht="15">
      <c r="A36" s="340"/>
      <c r="B36" s="341"/>
      <c r="C36" s="340"/>
      <c r="D36" s="58">
        <v>26</v>
      </c>
      <c r="E36" s="62">
        <v>3105</v>
      </c>
      <c r="F36" s="62">
        <v>1484</v>
      </c>
      <c r="G36" s="62">
        <v>1621</v>
      </c>
      <c r="H36" s="62">
        <v>2240</v>
      </c>
      <c r="I36" s="62">
        <v>1045</v>
      </c>
      <c r="J36" s="62">
        <v>1195</v>
      </c>
      <c r="K36" s="62">
        <v>257</v>
      </c>
      <c r="L36" s="62">
        <v>134</v>
      </c>
      <c r="M36" s="62">
        <v>123</v>
      </c>
      <c r="N36" s="62">
        <v>608</v>
      </c>
      <c r="O36" s="62">
        <v>305</v>
      </c>
      <c r="P36" s="62">
        <v>303</v>
      </c>
    </row>
    <row r="37" spans="1:16">
      <c r="A37" s="340"/>
      <c r="B37" s="341"/>
      <c r="C37" s="340"/>
      <c r="D37" s="59">
        <v>27</v>
      </c>
      <c r="E37" s="60">
        <v>2945</v>
      </c>
      <c r="F37" s="60">
        <v>1374</v>
      </c>
      <c r="G37" s="61">
        <v>1571</v>
      </c>
      <c r="H37" s="60">
        <v>2198</v>
      </c>
      <c r="I37" s="60">
        <v>1028</v>
      </c>
      <c r="J37" s="61">
        <v>1170</v>
      </c>
      <c r="K37" s="60">
        <v>233</v>
      </c>
      <c r="L37" s="60">
        <v>106</v>
      </c>
      <c r="M37" s="61">
        <v>127</v>
      </c>
      <c r="N37" s="60">
        <v>514</v>
      </c>
      <c r="O37" s="60">
        <v>240</v>
      </c>
      <c r="P37" s="61">
        <v>274</v>
      </c>
    </row>
    <row r="38" spans="1:16" ht="15">
      <c r="A38" s="340"/>
      <c r="B38" s="341"/>
      <c r="C38" s="340"/>
      <c r="D38" s="58">
        <v>28</v>
      </c>
      <c r="E38" s="62">
        <v>2863</v>
      </c>
      <c r="F38" s="62">
        <v>1395</v>
      </c>
      <c r="G38" s="62">
        <v>1468</v>
      </c>
      <c r="H38" s="62">
        <v>2110</v>
      </c>
      <c r="I38" s="62">
        <v>1002</v>
      </c>
      <c r="J38" s="62">
        <v>1108</v>
      </c>
      <c r="K38" s="62">
        <v>254</v>
      </c>
      <c r="L38" s="62">
        <v>129</v>
      </c>
      <c r="M38" s="62">
        <v>125</v>
      </c>
      <c r="N38" s="62">
        <v>499</v>
      </c>
      <c r="O38" s="62">
        <v>264</v>
      </c>
      <c r="P38" s="62">
        <v>235</v>
      </c>
    </row>
    <row r="39" spans="1:16">
      <c r="A39" s="340"/>
      <c r="B39" s="341"/>
      <c r="C39" s="340"/>
      <c r="D39" s="59">
        <v>29</v>
      </c>
      <c r="E39" s="60">
        <v>2896</v>
      </c>
      <c r="F39" s="60">
        <v>1431</v>
      </c>
      <c r="G39" s="61">
        <v>1465</v>
      </c>
      <c r="H39" s="60">
        <v>2125</v>
      </c>
      <c r="I39" s="60">
        <v>1052</v>
      </c>
      <c r="J39" s="61">
        <v>1073</v>
      </c>
      <c r="K39" s="60">
        <v>226</v>
      </c>
      <c r="L39" s="60">
        <v>107</v>
      </c>
      <c r="M39" s="61">
        <v>119</v>
      </c>
      <c r="N39" s="60">
        <v>545</v>
      </c>
      <c r="O39" s="60">
        <v>272</v>
      </c>
      <c r="P39" s="61">
        <v>273</v>
      </c>
    </row>
    <row r="40" spans="1:16" ht="28">
      <c r="A40" s="340"/>
      <c r="B40" s="341"/>
      <c r="C40" s="340"/>
      <c r="D40" s="58" t="s">
        <v>11</v>
      </c>
      <c r="E40" s="62">
        <v>15035</v>
      </c>
      <c r="F40" s="62">
        <v>7239</v>
      </c>
      <c r="G40" s="62">
        <v>7796</v>
      </c>
      <c r="H40" s="62">
        <v>11004</v>
      </c>
      <c r="I40" s="62">
        <v>5246</v>
      </c>
      <c r="J40" s="62">
        <v>5758</v>
      </c>
      <c r="K40" s="62">
        <v>1218</v>
      </c>
      <c r="L40" s="62">
        <v>593</v>
      </c>
      <c r="M40" s="62">
        <v>625</v>
      </c>
      <c r="N40" s="62">
        <v>2813</v>
      </c>
      <c r="O40" s="62">
        <v>1400</v>
      </c>
      <c r="P40" s="62">
        <v>1413</v>
      </c>
    </row>
    <row r="41" spans="1:16">
      <c r="A41" s="340"/>
      <c r="B41" s="341"/>
      <c r="C41" s="340" t="s">
        <v>17</v>
      </c>
      <c r="D41" s="59">
        <v>30</v>
      </c>
      <c r="E41" s="60">
        <v>2889</v>
      </c>
      <c r="F41" s="60">
        <v>1418</v>
      </c>
      <c r="G41" s="61">
        <v>1471</v>
      </c>
      <c r="H41" s="60">
        <v>1967</v>
      </c>
      <c r="I41" s="60">
        <v>966</v>
      </c>
      <c r="J41" s="61">
        <v>1001</v>
      </c>
      <c r="K41" s="60">
        <v>218</v>
      </c>
      <c r="L41" s="60">
        <v>100</v>
      </c>
      <c r="M41" s="61">
        <v>118</v>
      </c>
      <c r="N41" s="60">
        <v>704</v>
      </c>
      <c r="O41" s="60">
        <v>352</v>
      </c>
      <c r="P41" s="61">
        <v>352</v>
      </c>
    </row>
    <row r="42" spans="1:16" ht="15">
      <c r="A42" s="340"/>
      <c r="B42" s="341"/>
      <c r="C42" s="340"/>
      <c r="D42" s="58">
        <v>31</v>
      </c>
      <c r="E42" s="62">
        <v>2593</v>
      </c>
      <c r="F42" s="62">
        <v>1272</v>
      </c>
      <c r="G42" s="62">
        <v>1321</v>
      </c>
      <c r="H42" s="62">
        <v>1904</v>
      </c>
      <c r="I42" s="62">
        <v>920</v>
      </c>
      <c r="J42" s="62">
        <v>984</v>
      </c>
      <c r="K42" s="62">
        <v>215</v>
      </c>
      <c r="L42" s="62">
        <v>114</v>
      </c>
      <c r="M42" s="62">
        <v>101</v>
      </c>
      <c r="N42" s="62">
        <v>474</v>
      </c>
      <c r="O42" s="62">
        <v>238</v>
      </c>
      <c r="P42" s="62">
        <v>236</v>
      </c>
    </row>
    <row r="43" spans="1:16">
      <c r="A43" s="340"/>
      <c r="B43" s="341"/>
      <c r="C43" s="340"/>
      <c r="D43" s="59">
        <v>32</v>
      </c>
      <c r="E43" s="60">
        <v>2629</v>
      </c>
      <c r="F43" s="60">
        <v>1269</v>
      </c>
      <c r="G43" s="61">
        <v>1360</v>
      </c>
      <c r="H43" s="60">
        <v>2013</v>
      </c>
      <c r="I43" s="60">
        <v>960</v>
      </c>
      <c r="J43" s="61">
        <v>1053</v>
      </c>
      <c r="K43" s="60">
        <v>197</v>
      </c>
      <c r="L43" s="60">
        <v>99</v>
      </c>
      <c r="M43" s="61">
        <v>98</v>
      </c>
      <c r="N43" s="60">
        <v>419</v>
      </c>
      <c r="O43" s="60">
        <v>210</v>
      </c>
      <c r="P43" s="61">
        <v>209</v>
      </c>
    </row>
    <row r="44" spans="1:16" ht="15">
      <c r="A44" s="340"/>
      <c r="B44" s="341"/>
      <c r="C44" s="340"/>
      <c r="D44" s="58">
        <v>33</v>
      </c>
      <c r="E44" s="62">
        <v>2672</v>
      </c>
      <c r="F44" s="62">
        <v>1329</v>
      </c>
      <c r="G44" s="62">
        <v>1343</v>
      </c>
      <c r="H44" s="62">
        <v>1982</v>
      </c>
      <c r="I44" s="62">
        <v>977</v>
      </c>
      <c r="J44" s="62">
        <v>1005</v>
      </c>
      <c r="K44" s="62">
        <v>240</v>
      </c>
      <c r="L44" s="62">
        <v>127</v>
      </c>
      <c r="M44" s="62">
        <v>113</v>
      </c>
      <c r="N44" s="62">
        <v>450</v>
      </c>
      <c r="O44" s="62">
        <v>225</v>
      </c>
      <c r="P44" s="62">
        <v>225</v>
      </c>
    </row>
    <row r="45" spans="1:16">
      <c r="A45" s="340"/>
      <c r="B45" s="341"/>
      <c r="C45" s="340"/>
      <c r="D45" s="59">
        <v>34</v>
      </c>
      <c r="E45" s="60">
        <v>2569</v>
      </c>
      <c r="F45" s="60">
        <v>1247</v>
      </c>
      <c r="G45" s="61">
        <v>1322</v>
      </c>
      <c r="H45" s="60">
        <v>1901</v>
      </c>
      <c r="I45" s="60">
        <v>874</v>
      </c>
      <c r="J45" s="61">
        <v>1027</v>
      </c>
      <c r="K45" s="60">
        <v>222</v>
      </c>
      <c r="L45" s="60">
        <v>129</v>
      </c>
      <c r="M45" s="61">
        <v>93</v>
      </c>
      <c r="N45" s="60">
        <v>446</v>
      </c>
      <c r="O45" s="60">
        <v>244</v>
      </c>
      <c r="P45" s="61">
        <v>202</v>
      </c>
    </row>
    <row r="46" spans="1:16" ht="28">
      <c r="A46" s="340"/>
      <c r="B46" s="341"/>
      <c r="C46" s="340"/>
      <c r="D46" s="58" t="s">
        <v>11</v>
      </c>
      <c r="E46" s="62">
        <v>13352</v>
      </c>
      <c r="F46" s="62">
        <v>6535</v>
      </c>
      <c r="G46" s="62">
        <v>6817</v>
      </c>
      <c r="H46" s="62">
        <v>9767</v>
      </c>
      <c r="I46" s="62">
        <v>4697</v>
      </c>
      <c r="J46" s="62">
        <v>5070</v>
      </c>
      <c r="K46" s="62">
        <v>1092</v>
      </c>
      <c r="L46" s="62">
        <v>569</v>
      </c>
      <c r="M46" s="62">
        <v>523</v>
      </c>
      <c r="N46" s="62">
        <v>2493</v>
      </c>
      <c r="O46" s="62">
        <v>1269</v>
      </c>
      <c r="P46" s="62">
        <v>1224</v>
      </c>
    </row>
    <row r="47" spans="1:16">
      <c r="A47" s="340"/>
      <c r="B47" s="341"/>
      <c r="C47" s="340" t="s">
        <v>18</v>
      </c>
      <c r="D47" s="59">
        <v>35</v>
      </c>
      <c r="E47" s="60">
        <v>2730</v>
      </c>
      <c r="F47" s="60">
        <v>1349</v>
      </c>
      <c r="G47" s="61">
        <v>1381</v>
      </c>
      <c r="H47" s="60">
        <v>2009</v>
      </c>
      <c r="I47" s="60">
        <v>967</v>
      </c>
      <c r="J47" s="61">
        <v>1042</v>
      </c>
      <c r="K47" s="60">
        <v>218</v>
      </c>
      <c r="L47" s="60">
        <v>118</v>
      </c>
      <c r="M47" s="61">
        <v>100</v>
      </c>
      <c r="N47" s="60">
        <v>503</v>
      </c>
      <c r="O47" s="60">
        <v>264</v>
      </c>
      <c r="P47" s="61">
        <v>239</v>
      </c>
    </row>
    <row r="48" spans="1:16" ht="15">
      <c r="A48" s="340"/>
      <c r="B48" s="341"/>
      <c r="C48" s="340"/>
      <c r="D48" s="58">
        <v>36</v>
      </c>
      <c r="E48" s="62">
        <v>2547</v>
      </c>
      <c r="F48" s="62">
        <v>1211</v>
      </c>
      <c r="G48" s="62">
        <v>1336</v>
      </c>
      <c r="H48" s="62">
        <v>1850</v>
      </c>
      <c r="I48" s="62">
        <v>883</v>
      </c>
      <c r="J48" s="62">
        <v>967</v>
      </c>
      <c r="K48" s="62">
        <v>209</v>
      </c>
      <c r="L48" s="62">
        <v>101</v>
      </c>
      <c r="M48" s="62">
        <v>108</v>
      </c>
      <c r="N48" s="62">
        <v>488</v>
      </c>
      <c r="O48" s="62">
        <v>227</v>
      </c>
      <c r="P48" s="62">
        <v>261</v>
      </c>
    </row>
    <row r="49" spans="1:16">
      <c r="A49" s="340"/>
      <c r="B49" s="341"/>
      <c r="C49" s="340"/>
      <c r="D49" s="59">
        <v>37</v>
      </c>
      <c r="E49" s="60">
        <v>2315</v>
      </c>
      <c r="F49" s="60">
        <v>1133</v>
      </c>
      <c r="G49" s="61">
        <v>1182</v>
      </c>
      <c r="H49" s="60">
        <v>1782</v>
      </c>
      <c r="I49" s="60">
        <v>847</v>
      </c>
      <c r="J49" s="61">
        <v>935</v>
      </c>
      <c r="K49" s="60">
        <v>181</v>
      </c>
      <c r="L49" s="60">
        <v>99</v>
      </c>
      <c r="M49" s="61">
        <v>82</v>
      </c>
      <c r="N49" s="60">
        <v>352</v>
      </c>
      <c r="O49" s="60">
        <v>187</v>
      </c>
      <c r="P49" s="61">
        <v>165</v>
      </c>
    </row>
    <row r="50" spans="1:16" ht="15">
      <c r="A50" s="340"/>
      <c r="B50" s="341"/>
      <c r="C50" s="340"/>
      <c r="D50" s="58">
        <v>38</v>
      </c>
      <c r="E50" s="62">
        <v>2349</v>
      </c>
      <c r="F50" s="62">
        <v>1107</v>
      </c>
      <c r="G50" s="62">
        <v>1242</v>
      </c>
      <c r="H50" s="62">
        <v>1770</v>
      </c>
      <c r="I50" s="62">
        <v>811</v>
      </c>
      <c r="J50" s="62">
        <v>959</v>
      </c>
      <c r="K50" s="62">
        <v>219</v>
      </c>
      <c r="L50" s="62">
        <v>109</v>
      </c>
      <c r="M50" s="62">
        <v>110</v>
      </c>
      <c r="N50" s="62">
        <v>360</v>
      </c>
      <c r="O50" s="62">
        <v>187</v>
      </c>
      <c r="P50" s="62">
        <v>173</v>
      </c>
    </row>
    <row r="51" spans="1:16">
      <c r="A51" s="340"/>
      <c r="B51" s="341"/>
      <c r="C51" s="340"/>
      <c r="D51" s="59">
        <v>39</v>
      </c>
      <c r="E51" s="60">
        <v>2229</v>
      </c>
      <c r="F51" s="60">
        <v>1052</v>
      </c>
      <c r="G51" s="61">
        <v>1177</v>
      </c>
      <c r="H51" s="60">
        <v>1620</v>
      </c>
      <c r="I51" s="60">
        <v>760</v>
      </c>
      <c r="J51" s="61">
        <v>860</v>
      </c>
      <c r="K51" s="60">
        <v>208</v>
      </c>
      <c r="L51" s="60">
        <v>96</v>
      </c>
      <c r="M51" s="61">
        <v>112</v>
      </c>
      <c r="N51" s="60">
        <v>401</v>
      </c>
      <c r="O51" s="60">
        <v>196</v>
      </c>
      <c r="P51" s="61">
        <v>205</v>
      </c>
    </row>
    <row r="52" spans="1:16" ht="28">
      <c r="A52" s="340"/>
      <c r="B52" s="341"/>
      <c r="C52" s="340"/>
      <c r="D52" s="58" t="s">
        <v>11</v>
      </c>
      <c r="E52" s="62">
        <v>12170</v>
      </c>
      <c r="F52" s="62">
        <v>5852</v>
      </c>
      <c r="G52" s="62">
        <v>6318</v>
      </c>
      <c r="H52" s="62">
        <v>9031</v>
      </c>
      <c r="I52" s="62">
        <v>4268</v>
      </c>
      <c r="J52" s="62">
        <v>4763</v>
      </c>
      <c r="K52" s="62">
        <v>1035</v>
      </c>
      <c r="L52" s="62">
        <v>523</v>
      </c>
      <c r="M52" s="62">
        <v>512</v>
      </c>
      <c r="N52" s="62">
        <v>2104</v>
      </c>
      <c r="O52" s="62">
        <v>1061</v>
      </c>
      <c r="P52" s="62">
        <v>1043</v>
      </c>
    </row>
    <row r="53" spans="1:16">
      <c r="A53" s="340"/>
      <c r="B53" s="341"/>
      <c r="C53" s="340" t="s">
        <v>19</v>
      </c>
      <c r="D53" s="59">
        <v>40</v>
      </c>
      <c r="E53" s="60">
        <v>2134</v>
      </c>
      <c r="F53" s="60">
        <v>1026</v>
      </c>
      <c r="G53" s="61">
        <v>1108</v>
      </c>
      <c r="H53" s="60">
        <v>1511</v>
      </c>
      <c r="I53" s="60">
        <v>691</v>
      </c>
      <c r="J53" s="61">
        <v>820</v>
      </c>
      <c r="K53" s="60">
        <v>200</v>
      </c>
      <c r="L53" s="60">
        <v>107</v>
      </c>
      <c r="M53" s="61">
        <v>93</v>
      </c>
      <c r="N53" s="60">
        <v>423</v>
      </c>
      <c r="O53" s="60">
        <v>228</v>
      </c>
      <c r="P53" s="61">
        <v>195</v>
      </c>
    </row>
    <row r="54" spans="1:16" ht="15">
      <c r="A54" s="340"/>
      <c r="B54" s="341"/>
      <c r="C54" s="340"/>
      <c r="D54" s="58">
        <v>41</v>
      </c>
      <c r="E54" s="62">
        <v>1893</v>
      </c>
      <c r="F54" s="62">
        <v>900</v>
      </c>
      <c r="G54" s="62">
        <v>993</v>
      </c>
      <c r="H54" s="62">
        <v>1442</v>
      </c>
      <c r="I54" s="62">
        <v>676</v>
      </c>
      <c r="J54" s="62">
        <v>766</v>
      </c>
      <c r="K54" s="62">
        <v>162</v>
      </c>
      <c r="L54" s="62">
        <v>94</v>
      </c>
      <c r="M54" s="62">
        <v>68</v>
      </c>
      <c r="N54" s="62">
        <v>289</v>
      </c>
      <c r="O54" s="62">
        <v>130</v>
      </c>
      <c r="P54" s="62">
        <v>159</v>
      </c>
    </row>
    <row r="55" spans="1:16">
      <c r="A55" s="340"/>
      <c r="B55" s="341"/>
      <c r="C55" s="340"/>
      <c r="D55" s="59">
        <v>42</v>
      </c>
      <c r="E55" s="60">
        <v>1881</v>
      </c>
      <c r="F55" s="60">
        <v>892</v>
      </c>
      <c r="G55" s="61">
        <v>989</v>
      </c>
      <c r="H55" s="60">
        <v>1362</v>
      </c>
      <c r="I55" s="60">
        <v>637</v>
      </c>
      <c r="J55" s="61">
        <v>725</v>
      </c>
      <c r="K55" s="60">
        <v>168</v>
      </c>
      <c r="L55" s="60">
        <v>79</v>
      </c>
      <c r="M55" s="61">
        <v>89</v>
      </c>
      <c r="N55" s="60">
        <v>351</v>
      </c>
      <c r="O55" s="60">
        <v>176</v>
      </c>
      <c r="P55" s="61">
        <v>175</v>
      </c>
    </row>
    <row r="56" spans="1:16" ht="15">
      <c r="A56" s="340"/>
      <c r="B56" s="341"/>
      <c r="C56" s="340"/>
      <c r="D56" s="58">
        <v>43</v>
      </c>
      <c r="E56" s="62">
        <v>1775</v>
      </c>
      <c r="F56" s="62">
        <v>860</v>
      </c>
      <c r="G56" s="62">
        <v>915</v>
      </c>
      <c r="H56" s="62">
        <v>1292</v>
      </c>
      <c r="I56" s="62">
        <v>606</v>
      </c>
      <c r="J56" s="62">
        <v>686</v>
      </c>
      <c r="K56" s="62">
        <v>165</v>
      </c>
      <c r="L56" s="62">
        <v>89</v>
      </c>
      <c r="M56" s="62">
        <v>76</v>
      </c>
      <c r="N56" s="62">
        <v>318</v>
      </c>
      <c r="O56" s="62">
        <v>165</v>
      </c>
      <c r="P56" s="62">
        <v>153</v>
      </c>
    </row>
    <row r="57" spans="1:16">
      <c r="A57" s="340"/>
      <c r="B57" s="341"/>
      <c r="C57" s="340"/>
      <c r="D57" s="59">
        <v>44</v>
      </c>
      <c r="E57" s="60">
        <v>1632</v>
      </c>
      <c r="F57" s="60">
        <v>787</v>
      </c>
      <c r="G57" s="61">
        <v>845</v>
      </c>
      <c r="H57" s="60">
        <v>1236</v>
      </c>
      <c r="I57" s="60">
        <v>577</v>
      </c>
      <c r="J57" s="61">
        <v>659</v>
      </c>
      <c r="K57" s="60">
        <v>126</v>
      </c>
      <c r="L57" s="60">
        <v>64</v>
      </c>
      <c r="M57" s="61">
        <v>62</v>
      </c>
      <c r="N57" s="60">
        <v>270</v>
      </c>
      <c r="O57" s="60">
        <v>146</v>
      </c>
      <c r="P57" s="61">
        <v>124</v>
      </c>
    </row>
    <row r="58" spans="1:16" ht="28">
      <c r="A58" s="340"/>
      <c r="B58" s="341"/>
      <c r="C58" s="340"/>
      <c r="D58" s="58" t="s">
        <v>11</v>
      </c>
      <c r="E58" s="62">
        <v>9315</v>
      </c>
      <c r="F58" s="62">
        <v>4465</v>
      </c>
      <c r="G58" s="62">
        <v>4850</v>
      </c>
      <c r="H58" s="62">
        <v>6843</v>
      </c>
      <c r="I58" s="62">
        <v>3187</v>
      </c>
      <c r="J58" s="62">
        <v>3656</v>
      </c>
      <c r="K58" s="62">
        <v>821</v>
      </c>
      <c r="L58" s="62">
        <v>433</v>
      </c>
      <c r="M58" s="62">
        <v>388</v>
      </c>
      <c r="N58" s="62">
        <v>1651</v>
      </c>
      <c r="O58" s="62">
        <v>845</v>
      </c>
      <c r="P58" s="62">
        <v>806</v>
      </c>
    </row>
    <row r="59" spans="1:16">
      <c r="A59" s="340"/>
      <c r="B59" s="341"/>
      <c r="C59" s="340" t="s">
        <v>20</v>
      </c>
      <c r="D59" s="59">
        <v>45</v>
      </c>
      <c r="E59" s="60">
        <v>1775</v>
      </c>
      <c r="F59" s="60">
        <v>824</v>
      </c>
      <c r="G59" s="61">
        <v>951</v>
      </c>
      <c r="H59" s="60">
        <v>1273</v>
      </c>
      <c r="I59" s="60">
        <v>569</v>
      </c>
      <c r="J59" s="61">
        <v>704</v>
      </c>
      <c r="K59" s="60">
        <v>180</v>
      </c>
      <c r="L59" s="60">
        <v>87</v>
      </c>
      <c r="M59" s="61">
        <v>93</v>
      </c>
      <c r="N59" s="60">
        <v>322</v>
      </c>
      <c r="O59" s="60">
        <v>168</v>
      </c>
      <c r="P59" s="61">
        <v>154</v>
      </c>
    </row>
    <row r="60" spans="1:16" ht="15">
      <c r="A60" s="340"/>
      <c r="B60" s="341"/>
      <c r="C60" s="340"/>
      <c r="D60" s="58">
        <v>46</v>
      </c>
      <c r="E60" s="62">
        <v>1566</v>
      </c>
      <c r="F60" s="62">
        <v>729</v>
      </c>
      <c r="G60" s="62">
        <v>837</v>
      </c>
      <c r="H60" s="62">
        <v>1227</v>
      </c>
      <c r="I60" s="62">
        <v>549</v>
      </c>
      <c r="J60" s="62">
        <v>678</v>
      </c>
      <c r="K60" s="62">
        <v>120</v>
      </c>
      <c r="L60" s="62">
        <v>62</v>
      </c>
      <c r="M60" s="62">
        <v>58</v>
      </c>
      <c r="N60" s="62">
        <v>219</v>
      </c>
      <c r="O60" s="62">
        <v>118</v>
      </c>
      <c r="P60" s="62">
        <v>101</v>
      </c>
    </row>
    <row r="61" spans="1:16">
      <c r="A61" s="340"/>
      <c r="B61" s="341"/>
      <c r="C61" s="340"/>
      <c r="D61" s="59">
        <v>47</v>
      </c>
      <c r="E61" s="60">
        <v>1622</v>
      </c>
      <c r="F61" s="60">
        <v>725</v>
      </c>
      <c r="G61" s="61">
        <v>897</v>
      </c>
      <c r="H61" s="60">
        <v>1234</v>
      </c>
      <c r="I61" s="60">
        <v>540</v>
      </c>
      <c r="J61" s="61">
        <v>694</v>
      </c>
      <c r="K61" s="60">
        <v>145</v>
      </c>
      <c r="L61" s="60">
        <v>67</v>
      </c>
      <c r="M61" s="61">
        <v>78</v>
      </c>
      <c r="N61" s="60">
        <v>243</v>
      </c>
      <c r="O61" s="60">
        <v>118</v>
      </c>
      <c r="P61" s="61">
        <v>125</v>
      </c>
    </row>
    <row r="62" spans="1:16" ht="15">
      <c r="A62" s="340"/>
      <c r="B62" s="341"/>
      <c r="C62" s="340"/>
      <c r="D62" s="58">
        <v>48</v>
      </c>
      <c r="E62" s="62">
        <v>1659</v>
      </c>
      <c r="F62" s="62">
        <v>802</v>
      </c>
      <c r="G62" s="62">
        <v>857</v>
      </c>
      <c r="H62" s="62">
        <v>1246</v>
      </c>
      <c r="I62" s="62">
        <v>577</v>
      </c>
      <c r="J62" s="62">
        <v>669</v>
      </c>
      <c r="K62" s="62">
        <v>151</v>
      </c>
      <c r="L62" s="62">
        <v>78</v>
      </c>
      <c r="M62" s="62">
        <v>73</v>
      </c>
      <c r="N62" s="62">
        <v>262</v>
      </c>
      <c r="O62" s="62">
        <v>147</v>
      </c>
      <c r="P62" s="62">
        <v>115</v>
      </c>
    </row>
    <row r="63" spans="1:16">
      <c r="A63" s="340"/>
      <c r="B63" s="341"/>
      <c r="C63" s="340"/>
      <c r="D63" s="59">
        <v>49</v>
      </c>
      <c r="E63" s="60">
        <v>1543</v>
      </c>
      <c r="F63" s="60">
        <v>721</v>
      </c>
      <c r="G63" s="61">
        <v>822</v>
      </c>
      <c r="H63" s="60">
        <v>1225</v>
      </c>
      <c r="I63" s="60">
        <v>547</v>
      </c>
      <c r="J63" s="61">
        <v>678</v>
      </c>
      <c r="K63" s="60">
        <v>122</v>
      </c>
      <c r="L63" s="60">
        <v>65</v>
      </c>
      <c r="M63" s="61">
        <v>57</v>
      </c>
      <c r="N63" s="60">
        <v>196</v>
      </c>
      <c r="O63" s="60">
        <v>109</v>
      </c>
      <c r="P63" s="61">
        <v>87</v>
      </c>
    </row>
    <row r="64" spans="1:16" ht="28">
      <c r="A64" s="340"/>
      <c r="B64" s="341"/>
      <c r="C64" s="340"/>
      <c r="D64" s="58" t="s">
        <v>11</v>
      </c>
      <c r="E64" s="62">
        <v>8165</v>
      </c>
      <c r="F64" s="62">
        <v>3801</v>
      </c>
      <c r="G64" s="62">
        <v>4364</v>
      </c>
      <c r="H64" s="62">
        <v>6205</v>
      </c>
      <c r="I64" s="62">
        <v>2782</v>
      </c>
      <c r="J64" s="62">
        <v>3423</v>
      </c>
      <c r="K64" s="62">
        <v>718</v>
      </c>
      <c r="L64" s="62">
        <v>359</v>
      </c>
      <c r="M64" s="62">
        <v>359</v>
      </c>
      <c r="N64" s="62">
        <v>1242</v>
      </c>
      <c r="O64" s="62">
        <v>660</v>
      </c>
      <c r="P64" s="62">
        <v>582</v>
      </c>
    </row>
    <row r="65" spans="1:16">
      <c r="A65" s="340"/>
      <c r="B65" s="341"/>
      <c r="C65" s="340" t="s">
        <v>21</v>
      </c>
      <c r="D65" s="59">
        <v>50</v>
      </c>
      <c r="E65" s="60">
        <v>1519</v>
      </c>
      <c r="F65" s="60">
        <v>699</v>
      </c>
      <c r="G65" s="61">
        <v>820</v>
      </c>
      <c r="H65" s="60">
        <v>1177</v>
      </c>
      <c r="I65" s="60">
        <v>513</v>
      </c>
      <c r="J65" s="61">
        <v>664</v>
      </c>
      <c r="K65" s="60">
        <v>141</v>
      </c>
      <c r="L65" s="60">
        <v>65</v>
      </c>
      <c r="M65" s="61">
        <v>76</v>
      </c>
      <c r="N65" s="60">
        <v>201</v>
      </c>
      <c r="O65" s="60">
        <v>121</v>
      </c>
      <c r="P65" s="61">
        <v>80</v>
      </c>
    </row>
    <row r="66" spans="1:16" ht="15">
      <c r="A66" s="340"/>
      <c r="B66" s="341"/>
      <c r="C66" s="340"/>
      <c r="D66" s="58">
        <v>51</v>
      </c>
      <c r="E66" s="62">
        <v>1432</v>
      </c>
      <c r="F66" s="62">
        <v>637</v>
      </c>
      <c r="G66" s="62">
        <v>795</v>
      </c>
      <c r="H66" s="62">
        <v>1120</v>
      </c>
      <c r="I66" s="62">
        <v>482</v>
      </c>
      <c r="J66" s="62">
        <v>638</v>
      </c>
      <c r="K66" s="62">
        <v>110</v>
      </c>
      <c r="L66" s="62">
        <v>67</v>
      </c>
      <c r="M66" s="62">
        <v>43</v>
      </c>
      <c r="N66" s="62">
        <v>202</v>
      </c>
      <c r="O66" s="62">
        <v>88</v>
      </c>
      <c r="P66" s="62">
        <v>114</v>
      </c>
    </row>
    <row r="67" spans="1:16">
      <c r="A67" s="340"/>
      <c r="B67" s="341"/>
      <c r="C67" s="340"/>
      <c r="D67" s="59">
        <v>52</v>
      </c>
      <c r="E67" s="60">
        <v>1432</v>
      </c>
      <c r="F67" s="60">
        <v>635</v>
      </c>
      <c r="G67" s="61">
        <v>797</v>
      </c>
      <c r="H67" s="60">
        <v>1090</v>
      </c>
      <c r="I67" s="60">
        <v>467</v>
      </c>
      <c r="J67" s="61">
        <v>623</v>
      </c>
      <c r="K67" s="60">
        <v>145</v>
      </c>
      <c r="L67" s="60">
        <v>75</v>
      </c>
      <c r="M67" s="61">
        <v>70</v>
      </c>
      <c r="N67" s="60">
        <v>197</v>
      </c>
      <c r="O67" s="60">
        <v>93</v>
      </c>
      <c r="P67" s="61">
        <v>104</v>
      </c>
    </row>
    <row r="68" spans="1:16" ht="15">
      <c r="A68" s="340"/>
      <c r="B68" s="341"/>
      <c r="C68" s="340"/>
      <c r="D68" s="58">
        <v>53</v>
      </c>
      <c r="E68" s="62">
        <v>1393</v>
      </c>
      <c r="F68" s="62">
        <v>642</v>
      </c>
      <c r="G68" s="62">
        <v>751</v>
      </c>
      <c r="H68" s="62">
        <v>1055</v>
      </c>
      <c r="I68" s="62">
        <v>464</v>
      </c>
      <c r="J68" s="62">
        <v>591</v>
      </c>
      <c r="K68" s="62">
        <v>124</v>
      </c>
      <c r="L68" s="62">
        <v>62</v>
      </c>
      <c r="M68" s="62">
        <v>62</v>
      </c>
      <c r="N68" s="62">
        <v>214</v>
      </c>
      <c r="O68" s="62">
        <v>116</v>
      </c>
      <c r="P68" s="62">
        <v>98</v>
      </c>
    </row>
    <row r="69" spans="1:16">
      <c r="A69" s="340"/>
      <c r="B69" s="341"/>
      <c r="C69" s="340"/>
      <c r="D69" s="59">
        <v>54</v>
      </c>
      <c r="E69" s="60">
        <v>1316</v>
      </c>
      <c r="F69" s="60">
        <v>631</v>
      </c>
      <c r="G69" s="61">
        <v>685</v>
      </c>
      <c r="H69" s="60">
        <v>1026</v>
      </c>
      <c r="I69" s="60">
        <v>466</v>
      </c>
      <c r="J69" s="61">
        <v>560</v>
      </c>
      <c r="K69" s="60">
        <v>133</v>
      </c>
      <c r="L69" s="60">
        <v>75</v>
      </c>
      <c r="M69" s="61">
        <v>58</v>
      </c>
      <c r="N69" s="60">
        <v>157</v>
      </c>
      <c r="O69" s="60">
        <v>90</v>
      </c>
      <c r="P69" s="61">
        <v>67</v>
      </c>
    </row>
    <row r="70" spans="1:16" ht="28">
      <c r="A70" s="340"/>
      <c r="B70" s="341"/>
      <c r="C70" s="340"/>
      <c r="D70" s="58" t="s">
        <v>11</v>
      </c>
      <c r="E70" s="62">
        <v>7092</v>
      </c>
      <c r="F70" s="62">
        <v>3244</v>
      </c>
      <c r="G70" s="62">
        <v>3848</v>
      </c>
      <c r="H70" s="62">
        <v>5468</v>
      </c>
      <c r="I70" s="62">
        <v>2392</v>
      </c>
      <c r="J70" s="62">
        <v>3076</v>
      </c>
      <c r="K70" s="62">
        <v>653</v>
      </c>
      <c r="L70" s="62">
        <v>344</v>
      </c>
      <c r="M70" s="62">
        <v>309</v>
      </c>
      <c r="N70" s="62">
        <v>971</v>
      </c>
      <c r="O70" s="62">
        <v>508</v>
      </c>
      <c r="P70" s="62">
        <v>463</v>
      </c>
    </row>
    <row r="71" spans="1:16">
      <c r="A71" s="340"/>
      <c r="B71" s="341"/>
      <c r="C71" s="340" t="s">
        <v>22</v>
      </c>
      <c r="D71" s="59">
        <v>55</v>
      </c>
      <c r="E71" s="60">
        <v>1371</v>
      </c>
      <c r="F71" s="60">
        <v>614</v>
      </c>
      <c r="G71" s="61">
        <v>757</v>
      </c>
      <c r="H71" s="60">
        <v>1052</v>
      </c>
      <c r="I71" s="60">
        <v>444</v>
      </c>
      <c r="J71" s="61">
        <v>608</v>
      </c>
      <c r="K71" s="60">
        <v>112</v>
      </c>
      <c r="L71" s="60">
        <v>61</v>
      </c>
      <c r="M71" s="61">
        <v>51</v>
      </c>
      <c r="N71" s="60">
        <v>207</v>
      </c>
      <c r="O71" s="60">
        <v>109</v>
      </c>
      <c r="P71" s="61">
        <v>98</v>
      </c>
    </row>
    <row r="72" spans="1:16" ht="15">
      <c r="A72" s="340"/>
      <c r="B72" s="341"/>
      <c r="C72" s="340"/>
      <c r="D72" s="58">
        <v>56</v>
      </c>
      <c r="E72" s="62">
        <v>1214</v>
      </c>
      <c r="F72" s="62">
        <v>588</v>
      </c>
      <c r="G72" s="62">
        <v>626</v>
      </c>
      <c r="H72" s="62">
        <v>934</v>
      </c>
      <c r="I72" s="62">
        <v>442</v>
      </c>
      <c r="J72" s="62">
        <v>492</v>
      </c>
      <c r="K72" s="62">
        <v>115</v>
      </c>
      <c r="L72" s="62">
        <v>51</v>
      </c>
      <c r="M72" s="62">
        <v>64</v>
      </c>
      <c r="N72" s="62">
        <v>165</v>
      </c>
      <c r="O72" s="62">
        <v>95</v>
      </c>
      <c r="P72" s="62">
        <v>70</v>
      </c>
    </row>
    <row r="73" spans="1:16">
      <c r="A73" s="340"/>
      <c r="B73" s="341"/>
      <c r="C73" s="340"/>
      <c r="D73" s="59">
        <v>57</v>
      </c>
      <c r="E73" s="60">
        <v>1218</v>
      </c>
      <c r="F73" s="60">
        <v>542</v>
      </c>
      <c r="G73" s="61">
        <v>676</v>
      </c>
      <c r="H73" s="60">
        <v>909</v>
      </c>
      <c r="I73" s="60">
        <v>396</v>
      </c>
      <c r="J73" s="61">
        <v>513</v>
      </c>
      <c r="K73" s="60">
        <v>129</v>
      </c>
      <c r="L73" s="60">
        <v>57</v>
      </c>
      <c r="M73" s="61">
        <v>72</v>
      </c>
      <c r="N73" s="60">
        <v>180</v>
      </c>
      <c r="O73" s="60">
        <v>89</v>
      </c>
      <c r="P73" s="61">
        <v>91</v>
      </c>
    </row>
    <row r="74" spans="1:16" ht="15">
      <c r="A74" s="340"/>
      <c r="B74" s="341"/>
      <c r="C74" s="340"/>
      <c r="D74" s="58">
        <v>58</v>
      </c>
      <c r="E74" s="62">
        <v>1201</v>
      </c>
      <c r="F74" s="62">
        <v>519</v>
      </c>
      <c r="G74" s="62">
        <v>682</v>
      </c>
      <c r="H74" s="62">
        <v>908</v>
      </c>
      <c r="I74" s="62">
        <v>377</v>
      </c>
      <c r="J74" s="62">
        <v>531</v>
      </c>
      <c r="K74" s="62">
        <v>122</v>
      </c>
      <c r="L74" s="62">
        <v>53</v>
      </c>
      <c r="M74" s="62">
        <v>69</v>
      </c>
      <c r="N74" s="62">
        <v>171</v>
      </c>
      <c r="O74" s="62">
        <v>89</v>
      </c>
      <c r="P74" s="62">
        <v>82</v>
      </c>
    </row>
    <row r="75" spans="1:16">
      <c r="A75" s="340"/>
      <c r="B75" s="341"/>
      <c r="C75" s="340"/>
      <c r="D75" s="59">
        <v>59</v>
      </c>
      <c r="E75" s="60">
        <v>1072</v>
      </c>
      <c r="F75" s="60">
        <v>498</v>
      </c>
      <c r="G75" s="61">
        <v>574</v>
      </c>
      <c r="H75" s="60">
        <v>814</v>
      </c>
      <c r="I75" s="60">
        <v>363</v>
      </c>
      <c r="J75" s="61">
        <v>451</v>
      </c>
      <c r="K75" s="60">
        <v>94</v>
      </c>
      <c r="L75" s="60">
        <v>54</v>
      </c>
      <c r="M75" s="61">
        <v>40</v>
      </c>
      <c r="N75" s="60">
        <v>164</v>
      </c>
      <c r="O75" s="60">
        <v>81</v>
      </c>
      <c r="P75" s="61">
        <v>83</v>
      </c>
    </row>
    <row r="76" spans="1:16" ht="28">
      <c r="A76" s="340"/>
      <c r="B76" s="341"/>
      <c r="C76" s="340"/>
      <c r="D76" s="58" t="s">
        <v>11</v>
      </c>
      <c r="E76" s="62">
        <v>6076</v>
      </c>
      <c r="F76" s="62">
        <v>2761</v>
      </c>
      <c r="G76" s="62">
        <v>3315</v>
      </c>
      <c r="H76" s="62">
        <v>4617</v>
      </c>
      <c r="I76" s="62">
        <v>2022</v>
      </c>
      <c r="J76" s="62">
        <v>2595</v>
      </c>
      <c r="K76" s="62">
        <v>572</v>
      </c>
      <c r="L76" s="62">
        <v>276</v>
      </c>
      <c r="M76" s="62">
        <v>296</v>
      </c>
      <c r="N76" s="62">
        <v>887</v>
      </c>
      <c r="O76" s="62">
        <v>463</v>
      </c>
      <c r="P76" s="62">
        <v>424</v>
      </c>
    </row>
    <row r="77" spans="1:16">
      <c r="A77" s="340"/>
      <c r="B77" s="341"/>
      <c r="C77" s="340" t="s">
        <v>23</v>
      </c>
      <c r="D77" s="59">
        <v>60</v>
      </c>
      <c r="E77" s="60">
        <v>1161</v>
      </c>
      <c r="F77" s="60">
        <v>550</v>
      </c>
      <c r="G77" s="61">
        <v>611</v>
      </c>
      <c r="H77" s="60">
        <v>859</v>
      </c>
      <c r="I77" s="60">
        <v>379</v>
      </c>
      <c r="J77" s="61">
        <v>480</v>
      </c>
      <c r="K77" s="60">
        <v>105</v>
      </c>
      <c r="L77" s="60">
        <v>61</v>
      </c>
      <c r="M77" s="61">
        <v>44</v>
      </c>
      <c r="N77" s="60">
        <v>197</v>
      </c>
      <c r="O77" s="60">
        <v>110</v>
      </c>
      <c r="P77" s="61">
        <v>87</v>
      </c>
    </row>
    <row r="78" spans="1:16" ht="15">
      <c r="A78" s="340"/>
      <c r="B78" s="341"/>
      <c r="C78" s="340"/>
      <c r="D78" s="58">
        <v>61</v>
      </c>
      <c r="E78" s="62">
        <v>940</v>
      </c>
      <c r="F78" s="62">
        <v>427</v>
      </c>
      <c r="G78" s="62">
        <v>513</v>
      </c>
      <c r="H78" s="62">
        <v>722</v>
      </c>
      <c r="I78" s="62">
        <v>324</v>
      </c>
      <c r="J78" s="62">
        <v>398</v>
      </c>
      <c r="K78" s="62">
        <v>93</v>
      </c>
      <c r="L78" s="62">
        <v>38</v>
      </c>
      <c r="M78" s="62">
        <v>55</v>
      </c>
      <c r="N78" s="62">
        <v>125</v>
      </c>
      <c r="O78" s="62">
        <v>65</v>
      </c>
      <c r="P78" s="62">
        <v>60</v>
      </c>
    </row>
    <row r="79" spans="1:16">
      <c r="A79" s="340"/>
      <c r="B79" s="341"/>
      <c r="C79" s="340"/>
      <c r="D79" s="59">
        <v>62</v>
      </c>
      <c r="E79" s="60">
        <v>875</v>
      </c>
      <c r="F79" s="60">
        <v>424</v>
      </c>
      <c r="G79" s="61">
        <v>451</v>
      </c>
      <c r="H79" s="60">
        <v>668</v>
      </c>
      <c r="I79" s="60">
        <v>314</v>
      </c>
      <c r="J79" s="61">
        <v>354</v>
      </c>
      <c r="K79" s="60">
        <v>89</v>
      </c>
      <c r="L79" s="60">
        <v>49</v>
      </c>
      <c r="M79" s="61">
        <v>40</v>
      </c>
      <c r="N79" s="60">
        <v>118</v>
      </c>
      <c r="O79" s="60">
        <v>61</v>
      </c>
      <c r="P79" s="61">
        <v>57</v>
      </c>
    </row>
    <row r="80" spans="1:16" ht="15">
      <c r="A80" s="340"/>
      <c r="B80" s="341"/>
      <c r="C80" s="340"/>
      <c r="D80" s="58">
        <v>63</v>
      </c>
      <c r="E80" s="62">
        <v>878</v>
      </c>
      <c r="F80" s="62">
        <v>380</v>
      </c>
      <c r="G80" s="62">
        <v>498</v>
      </c>
      <c r="H80" s="62">
        <v>676</v>
      </c>
      <c r="I80" s="62">
        <v>274</v>
      </c>
      <c r="J80" s="62">
        <v>402</v>
      </c>
      <c r="K80" s="62">
        <v>104</v>
      </c>
      <c r="L80" s="62">
        <v>57</v>
      </c>
      <c r="M80" s="62">
        <v>47</v>
      </c>
      <c r="N80" s="62">
        <v>98</v>
      </c>
      <c r="O80" s="62">
        <v>49</v>
      </c>
      <c r="P80" s="62">
        <v>49</v>
      </c>
    </row>
    <row r="81" spans="1:16">
      <c r="A81" s="340"/>
      <c r="B81" s="341"/>
      <c r="C81" s="340"/>
      <c r="D81" s="59">
        <v>64</v>
      </c>
      <c r="E81" s="60">
        <v>687</v>
      </c>
      <c r="F81" s="60">
        <v>330</v>
      </c>
      <c r="G81" s="61">
        <v>357</v>
      </c>
      <c r="H81" s="60">
        <v>549</v>
      </c>
      <c r="I81" s="60">
        <v>256</v>
      </c>
      <c r="J81" s="61">
        <v>293</v>
      </c>
      <c r="K81" s="60">
        <v>68</v>
      </c>
      <c r="L81" s="60">
        <v>33</v>
      </c>
      <c r="M81" s="61">
        <v>35</v>
      </c>
      <c r="N81" s="60">
        <v>70</v>
      </c>
      <c r="O81" s="60">
        <v>41</v>
      </c>
      <c r="P81" s="61">
        <v>29</v>
      </c>
    </row>
    <row r="82" spans="1:16" ht="28">
      <c r="A82" s="340"/>
      <c r="B82" s="341"/>
      <c r="C82" s="340"/>
      <c r="D82" s="58" t="s">
        <v>11</v>
      </c>
      <c r="E82" s="62">
        <v>4541</v>
      </c>
      <c r="F82" s="62">
        <v>2111</v>
      </c>
      <c r="G82" s="62">
        <v>2430</v>
      </c>
      <c r="H82" s="62">
        <v>3474</v>
      </c>
      <c r="I82" s="62">
        <v>1547</v>
      </c>
      <c r="J82" s="62">
        <v>1927</v>
      </c>
      <c r="K82" s="62">
        <v>459</v>
      </c>
      <c r="L82" s="62">
        <v>238</v>
      </c>
      <c r="M82" s="62">
        <v>221</v>
      </c>
      <c r="N82" s="62">
        <v>608</v>
      </c>
      <c r="O82" s="62">
        <v>326</v>
      </c>
      <c r="P82" s="62">
        <v>282</v>
      </c>
    </row>
    <row r="83" spans="1:16">
      <c r="A83" s="340"/>
      <c r="B83" s="341"/>
      <c r="C83" s="340" t="s">
        <v>24</v>
      </c>
      <c r="D83" s="59">
        <v>65</v>
      </c>
      <c r="E83" s="60">
        <v>708</v>
      </c>
      <c r="F83" s="60">
        <v>325</v>
      </c>
      <c r="G83" s="61">
        <v>383</v>
      </c>
      <c r="H83" s="60">
        <v>556</v>
      </c>
      <c r="I83" s="60">
        <v>241</v>
      </c>
      <c r="J83" s="61">
        <v>315</v>
      </c>
      <c r="K83" s="60">
        <v>76</v>
      </c>
      <c r="L83" s="60">
        <v>42</v>
      </c>
      <c r="M83" s="61">
        <v>34</v>
      </c>
      <c r="N83" s="60">
        <v>76</v>
      </c>
      <c r="O83" s="60">
        <v>42</v>
      </c>
      <c r="P83" s="61">
        <v>34</v>
      </c>
    </row>
    <row r="84" spans="1:16" ht="15">
      <c r="A84" s="340"/>
      <c r="B84" s="341"/>
      <c r="C84" s="340"/>
      <c r="D84" s="58">
        <v>66</v>
      </c>
      <c r="E84" s="62">
        <v>648</v>
      </c>
      <c r="F84" s="62">
        <v>312</v>
      </c>
      <c r="G84" s="62">
        <v>336</v>
      </c>
      <c r="H84" s="62">
        <v>469</v>
      </c>
      <c r="I84" s="62">
        <v>208</v>
      </c>
      <c r="J84" s="62">
        <v>261</v>
      </c>
      <c r="K84" s="62">
        <v>82</v>
      </c>
      <c r="L84" s="62">
        <v>48</v>
      </c>
      <c r="M84" s="62">
        <v>34</v>
      </c>
      <c r="N84" s="62">
        <v>97</v>
      </c>
      <c r="O84" s="62">
        <v>56</v>
      </c>
      <c r="P84" s="62">
        <v>41</v>
      </c>
    </row>
    <row r="85" spans="1:16">
      <c r="A85" s="340"/>
      <c r="B85" s="341"/>
      <c r="C85" s="340"/>
      <c r="D85" s="59">
        <v>67</v>
      </c>
      <c r="E85" s="60">
        <v>617</v>
      </c>
      <c r="F85" s="60">
        <v>263</v>
      </c>
      <c r="G85" s="61">
        <v>354</v>
      </c>
      <c r="H85" s="60">
        <v>443</v>
      </c>
      <c r="I85" s="60">
        <v>183</v>
      </c>
      <c r="J85" s="61">
        <v>260</v>
      </c>
      <c r="K85" s="60">
        <v>37</v>
      </c>
      <c r="L85" s="60">
        <v>19</v>
      </c>
      <c r="M85" s="61">
        <v>18</v>
      </c>
      <c r="N85" s="60">
        <v>137</v>
      </c>
      <c r="O85" s="60">
        <v>61</v>
      </c>
      <c r="P85" s="61">
        <v>76</v>
      </c>
    </row>
    <row r="86" spans="1:16" ht="15">
      <c r="A86" s="340"/>
      <c r="B86" s="341"/>
      <c r="C86" s="340"/>
      <c r="D86" s="58">
        <v>68</v>
      </c>
      <c r="E86" s="62">
        <v>590</v>
      </c>
      <c r="F86" s="62">
        <v>293</v>
      </c>
      <c r="G86" s="62">
        <v>297</v>
      </c>
      <c r="H86" s="62">
        <v>444</v>
      </c>
      <c r="I86" s="62">
        <v>215</v>
      </c>
      <c r="J86" s="62">
        <v>229</v>
      </c>
      <c r="K86" s="62">
        <v>46</v>
      </c>
      <c r="L86" s="62">
        <v>25</v>
      </c>
      <c r="M86" s="62">
        <v>21</v>
      </c>
      <c r="N86" s="62">
        <v>100</v>
      </c>
      <c r="O86" s="62">
        <v>53</v>
      </c>
      <c r="P86" s="62">
        <v>47</v>
      </c>
    </row>
    <row r="87" spans="1:16">
      <c r="A87" s="340"/>
      <c r="B87" s="341"/>
      <c r="C87" s="340"/>
      <c r="D87" s="59">
        <v>69</v>
      </c>
      <c r="E87" s="60">
        <v>423</v>
      </c>
      <c r="F87" s="60">
        <v>190</v>
      </c>
      <c r="G87" s="61">
        <v>233</v>
      </c>
      <c r="H87" s="60">
        <v>311</v>
      </c>
      <c r="I87" s="60">
        <v>140</v>
      </c>
      <c r="J87" s="61">
        <v>171</v>
      </c>
      <c r="K87" s="60">
        <v>39</v>
      </c>
      <c r="L87" s="60">
        <v>14</v>
      </c>
      <c r="M87" s="61">
        <v>25</v>
      </c>
      <c r="N87" s="60">
        <v>73</v>
      </c>
      <c r="O87" s="60">
        <v>36</v>
      </c>
      <c r="P87" s="61">
        <v>37</v>
      </c>
    </row>
    <row r="88" spans="1:16" ht="28">
      <c r="A88" s="340"/>
      <c r="B88" s="341"/>
      <c r="C88" s="340"/>
      <c r="D88" s="58" t="s">
        <v>11</v>
      </c>
      <c r="E88" s="62">
        <v>2986</v>
      </c>
      <c r="F88" s="62">
        <v>1383</v>
      </c>
      <c r="G88" s="62">
        <v>1603</v>
      </c>
      <c r="H88" s="62">
        <v>2223</v>
      </c>
      <c r="I88" s="62">
        <v>987</v>
      </c>
      <c r="J88" s="62">
        <v>1236</v>
      </c>
      <c r="K88" s="62">
        <v>280</v>
      </c>
      <c r="L88" s="62">
        <v>148</v>
      </c>
      <c r="M88" s="62">
        <v>132</v>
      </c>
      <c r="N88" s="62">
        <v>483</v>
      </c>
      <c r="O88" s="62">
        <v>248</v>
      </c>
      <c r="P88" s="62">
        <v>235</v>
      </c>
    </row>
    <row r="89" spans="1:16">
      <c r="A89" s="340"/>
      <c r="B89" s="341"/>
      <c r="C89" s="340" t="s">
        <v>25</v>
      </c>
      <c r="D89" s="59">
        <v>70</v>
      </c>
      <c r="E89" s="60">
        <v>556</v>
      </c>
      <c r="F89" s="60">
        <v>258</v>
      </c>
      <c r="G89" s="61">
        <v>298</v>
      </c>
      <c r="H89" s="60">
        <v>376</v>
      </c>
      <c r="I89" s="60">
        <v>161</v>
      </c>
      <c r="J89" s="61">
        <v>215</v>
      </c>
      <c r="K89" s="60">
        <v>52</v>
      </c>
      <c r="L89" s="60">
        <v>32</v>
      </c>
      <c r="M89" s="61">
        <v>20</v>
      </c>
      <c r="N89" s="60">
        <v>128</v>
      </c>
      <c r="O89" s="60">
        <v>65</v>
      </c>
      <c r="P89" s="61">
        <v>63</v>
      </c>
    </row>
    <row r="90" spans="1:16" ht="15">
      <c r="A90" s="340"/>
      <c r="B90" s="341"/>
      <c r="C90" s="340"/>
      <c r="D90" s="58">
        <v>71</v>
      </c>
      <c r="E90" s="62">
        <v>402</v>
      </c>
      <c r="F90" s="62">
        <v>190</v>
      </c>
      <c r="G90" s="62">
        <v>212</v>
      </c>
      <c r="H90" s="62">
        <v>300</v>
      </c>
      <c r="I90" s="62">
        <v>139</v>
      </c>
      <c r="J90" s="62">
        <v>161</v>
      </c>
      <c r="K90" s="62">
        <v>30</v>
      </c>
      <c r="L90" s="62">
        <v>13</v>
      </c>
      <c r="M90" s="62">
        <v>17</v>
      </c>
      <c r="N90" s="62">
        <v>72</v>
      </c>
      <c r="O90" s="62">
        <v>38</v>
      </c>
      <c r="P90" s="62">
        <v>34</v>
      </c>
    </row>
    <row r="91" spans="1:16">
      <c r="A91" s="340"/>
      <c r="B91" s="341"/>
      <c r="C91" s="340"/>
      <c r="D91" s="59">
        <v>72</v>
      </c>
      <c r="E91" s="60">
        <v>377</v>
      </c>
      <c r="F91" s="60">
        <v>180</v>
      </c>
      <c r="G91" s="61">
        <v>197</v>
      </c>
      <c r="H91" s="60">
        <v>274</v>
      </c>
      <c r="I91" s="60">
        <v>125</v>
      </c>
      <c r="J91" s="61">
        <v>149</v>
      </c>
      <c r="K91" s="60">
        <v>30</v>
      </c>
      <c r="L91" s="60">
        <v>15</v>
      </c>
      <c r="M91" s="61">
        <v>15</v>
      </c>
      <c r="N91" s="60">
        <v>73</v>
      </c>
      <c r="O91" s="60">
        <v>40</v>
      </c>
      <c r="P91" s="61">
        <v>33</v>
      </c>
    </row>
    <row r="92" spans="1:16" ht="15">
      <c r="A92" s="340"/>
      <c r="B92" s="341"/>
      <c r="C92" s="340"/>
      <c r="D92" s="58">
        <v>73</v>
      </c>
      <c r="E92" s="62">
        <v>367</v>
      </c>
      <c r="F92" s="62">
        <v>165</v>
      </c>
      <c r="G92" s="62">
        <v>202</v>
      </c>
      <c r="H92" s="62">
        <v>272</v>
      </c>
      <c r="I92" s="62">
        <v>115</v>
      </c>
      <c r="J92" s="62">
        <v>157</v>
      </c>
      <c r="K92" s="62">
        <v>43</v>
      </c>
      <c r="L92" s="62">
        <v>18</v>
      </c>
      <c r="M92" s="62">
        <v>25</v>
      </c>
      <c r="N92" s="62">
        <v>52</v>
      </c>
      <c r="O92" s="62">
        <v>32</v>
      </c>
      <c r="P92" s="62">
        <v>20</v>
      </c>
    </row>
    <row r="93" spans="1:16">
      <c r="A93" s="340"/>
      <c r="B93" s="341"/>
      <c r="C93" s="340"/>
      <c r="D93" s="59">
        <v>74</v>
      </c>
      <c r="E93" s="60">
        <v>325</v>
      </c>
      <c r="F93" s="60">
        <v>152</v>
      </c>
      <c r="G93" s="61">
        <v>173</v>
      </c>
      <c r="H93" s="60">
        <v>220</v>
      </c>
      <c r="I93" s="60">
        <v>104</v>
      </c>
      <c r="J93" s="61">
        <v>116</v>
      </c>
      <c r="K93" s="60">
        <v>30</v>
      </c>
      <c r="L93" s="60">
        <v>14</v>
      </c>
      <c r="M93" s="61">
        <v>16</v>
      </c>
      <c r="N93" s="60">
        <v>75</v>
      </c>
      <c r="O93" s="60">
        <v>34</v>
      </c>
      <c r="P93" s="61">
        <v>41</v>
      </c>
    </row>
    <row r="94" spans="1:16" ht="28">
      <c r="A94" s="340"/>
      <c r="B94" s="341"/>
      <c r="C94" s="340"/>
      <c r="D94" s="58" t="s">
        <v>11</v>
      </c>
      <c r="E94" s="62">
        <v>2027</v>
      </c>
      <c r="F94" s="62">
        <v>945</v>
      </c>
      <c r="G94" s="62">
        <v>1082</v>
      </c>
      <c r="H94" s="62">
        <v>1442</v>
      </c>
      <c r="I94" s="62">
        <v>644</v>
      </c>
      <c r="J94" s="62">
        <v>798</v>
      </c>
      <c r="K94" s="62">
        <v>185</v>
      </c>
      <c r="L94" s="62">
        <v>92</v>
      </c>
      <c r="M94" s="62">
        <v>93</v>
      </c>
      <c r="N94" s="62">
        <v>400</v>
      </c>
      <c r="O94" s="62">
        <v>209</v>
      </c>
      <c r="P94" s="62">
        <v>191</v>
      </c>
    </row>
    <row r="95" spans="1:16">
      <c r="A95" s="340"/>
      <c r="B95" s="341"/>
      <c r="C95" s="340" t="s">
        <v>26</v>
      </c>
      <c r="D95" s="59">
        <v>75</v>
      </c>
      <c r="E95" s="60">
        <v>286</v>
      </c>
      <c r="F95" s="60">
        <v>132</v>
      </c>
      <c r="G95" s="61">
        <v>154</v>
      </c>
      <c r="H95" s="60">
        <v>207</v>
      </c>
      <c r="I95" s="60">
        <v>90</v>
      </c>
      <c r="J95" s="61">
        <v>117</v>
      </c>
      <c r="K95" s="60">
        <v>38</v>
      </c>
      <c r="L95" s="60">
        <v>16</v>
      </c>
      <c r="M95" s="61">
        <v>22</v>
      </c>
      <c r="N95" s="60">
        <v>41</v>
      </c>
      <c r="O95" s="60">
        <v>26</v>
      </c>
      <c r="P95" s="61">
        <v>15</v>
      </c>
    </row>
    <row r="96" spans="1:16" ht="15">
      <c r="A96" s="340"/>
      <c r="B96" s="341"/>
      <c r="C96" s="340"/>
      <c r="D96" s="58">
        <v>76</v>
      </c>
      <c r="E96" s="62">
        <v>247</v>
      </c>
      <c r="F96" s="62">
        <v>111</v>
      </c>
      <c r="G96" s="62">
        <v>136</v>
      </c>
      <c r="H96" s="62">
        <v>186</v>
      </c>
      <c r="I96" s="62">
        <v>83</v>
      </c>
      <c r="J96" s="62">
        <v>103</v>
      </c>
      <c r="K96" s="62">
        <v>31</v>
      </c>
      <c r="L96" s="62">
        <v>14</v>
      </c>
      <c r="M96" s="62">
        <v>17</v>
      </c>
      <c r="N96" s="62">
        <v>30</v>
      </c>
      <c r="O96" s="62">
        <v>14</v>
      </c>
      <c r="P96" s="62">
        <v>16</v>
      </c>
    </row>
    <row r="97" spans="1:16">
      <c r="A97" s="340"/>
      <c r="B97" s="341"/>
      <c r="C97" s="340"/>
      <c r="D97" s="59">
        <v>77</v>
      </c>
      <c r="E97" s="60">
        <v>311</v>
      </c>
      <c r="F97" s="60">
        <v>136</v>
      </c>
      <c r="G97" s="61">
        <v>175</v>
      </c>
      <c r="H97" s="60">
        <v>203</v>
      </c>
      <c r="I97" s="60">
        <v>86</v>
      </c>
      <c r="J97" s="61">
        <v>117</v>
      </c>
      <c r="K97" s="60">
        <v>20</v>
      </c>
      <c r="L97" s="60">
        <v>11</v>
      </c>
      <c r="M97" s="61">
        <v>9</v>
      </c>
      <c r="N97" s="60">
        <v>88</v>
      </c>
      <c r="O97" s="60">
        <v>39</v>
      </c>
      <c r="P97" s="61">
        <v>49</v>
      </c>
    </row>
    <row r="98" spans="1:16" ht="15">
      <c r="A98" s="340"/>
      <c r="B98" s="341"/>
      <c r="C98" s="340"/>
      <c r="D98" s="58">
        <v>78</v>
      </c>
      <c r="E98" s="62">
        <v>280</v>
      </c>
      <c r="F98" s="62">
        <v>101</v>
      </c>
      <c r="G98" s="62">
        <v>179</v>
      </c>
      <c r="H98" s="62">
        <v>199</v>
      </c>
      <c r="I98" s="62">
        <v>65</v>
      </c>
      <c r="J98" s="62">
        <v>134</v>
      </c>
      <c r="K98" s="62">
        <v>33</v>
      </c>
      <c r="L98" s="62">
        <v>13</v>
      </c>
      <c r="M98" s="62">
        <v>20</v>
      </c>
      <c r="N98" s="62">
        <v>48</v>
      </c>
      <c r="O98" s="62">
        <v>23</v>
      </c>
      <c r="P98" s="62">
        <v>25</v>
      </c>
    </row>
    <row r="99" spans="1:16">
      <c r="A99" s="340"/>
      <c r="B99" s="341"/>
      <c r="C99" s="340"/>
      <c r="D99" s="59">
        <v>79</v>
      </c>
      <c r="E99" s="60">
        <v>228</v>
      </c>
      <c r="F99" s="60">
        <v>89</v>
      </c>
      <c r="G99" s="61">
        <v>139</v>
      </c>
      <c r="H99" s="60">
        <v>143</v>
      </c>
      <c r="I99" s="60">
        <v>47</v>
      </c>
      <c r="J99" s="61">
        <v>96</v>
      </c>
      <c r="K99" s="60">
        <v>42</v>
      </c>
      <c r="L99" s="60">
        <v>22</v>
      </c>
      <c r="M99" s="61">
        <v>20</v>
      </c>
      <c r="N99" s="60">
        <v>43</v>
      </c>
      <c r="O99" s="60">
        <v>20</v>
      </c>
      <c r="P99" s="61">
        <v>23</v>
      </c>
    </row>
    <row r="100" spans="1:16" ht="28">
      <c r="A100" s="340"/>
      <c r="B100" s="341"/>
      <c r="C100" s="340"/>
      <c r="D100" s="58" t="s">
        <v>11</v>
      </c>
      <c r="E100" s="62">
        <v>1352</v>
      </c>
      <c r="F100" s="62">
        <v>569</v>
      </c>
      <c r="G100" s="62">
        <v>783</v>
      </c>
      <c r="H100" s="62">
        <v>938</v>
      </c>
      <c r="I100" s="62">
        <v>371</v>
      </c>
      <c r="J100" s="62">
        <v>567</v>
      </c>
      <c r="K100" s="62">
        <v>164</v>
      </c>
      <c r="L100" s="62">
        <v>76</v>
      </c>
      <c r="M100" s="62">
        <v>88</v>
      </c>
      <c r="N100" s="62">
        <v>250</v>
      </c>
      <c r="O100" s="62">
        <v>122</v>
      </c>
      <c r="P100" s="62">
        <v>128</v>
      </c>
    </row>
    <row r="101" spans="1:16">
      <c r="A101" s="340"/>
      <c r="B101" s="341"/>
      <c r="C101" s="340" t="s">
        <v>27</v>
      </c>
      <c r="D101" s="59">
        <v>80</v>
      </c>
      <c r="E101" s="60">
        <v>233</v>
      </c>
      <c r="F101" s="60">
        <v>112</v>
      </c>
      <c r="G101" s="61">
        <v>121</v>
      </c>
      <c r="H101" s="60">
        <v>148</v>
      </c>
      <c r="I101" s="60">
        <v>72</v>
      </c>
      <c r="J101" s="61">
        <v>76</v>
      </c>
      <c r="K101" s="60">
        <v>32</v>
      </c>
      <c r="L101" s="60">
        <v>12</v>
      </c>
      <c r="M101" s="61">
        <v>20</v>
      </c>
      <c r="N101" s="60">
        <v>53</v>
      </c>
      <c r="O101" s="60">
        <v>28</v>
      </c>
      <c r="P101" s="61">
        <v>25</v>
      </c>
    </row>
    <row r="102" spans="1:16" ht="15">
      <c r="A102" s="340"/>
      <c r="B102" s="341"/>
      <c r="C102" s="340"/>
      <c r="D102" s="58">
        <v>81</v>
      </c>
      <c r="E102" s="62">
        <v>148</v>
      </c>
      <c r="F102" s="62">
        <v>63</v>
      </c>
      <c r="G102" s="62">
        <v>85</v>
      </c>
      <c r="H102" s="62">
        <v>100</v>
      </c>
      <c r="I102" s="62">
        <v>38</v>
      </c>
      <c r="J102" s="62">
        <v>62</v>
      </c>
      <c r="K102" s="62">
        <v>20</v>
      </c>
      <c r="L102" s="62">
        <v>14</v>
      </c>
      <c r="M102" s="62">
        <v>6</v>
      </c>
      <c r="N102" s="62">
        <v>28</v>
      </c>
      <c r="O102" s="62">
        <v>11</v>
      </c>
      <c r="P102" s="62">
        <v>17</v>
      </c>
    </row>
    <row r="103" spans="1:16">
      <c r="A103" s="340"/>
      <c r="B103" s="341"/>
      <c r="C103" s="340"/>
      <c r="D103" s="59">
        <v>82</v>
      </c>
      <c r="E103" s="60">
        <v>179</v>
      </c>
      <c r="F103" s="60">
        <v>66</v>
      </c>
      <c r="G103" s="61">
        <v>113</v>
      </c>
      <c r="H103" s="60">
        <v>109</v>
      </c>
      <c r="I103" s="60">
        <v>35</v>
      </c>
      <c r="J103" s="61">
        <v>74</v>
      </c>
      <c r="K103" s="60">
        <v>26</v>
      </c>
      <c r="L103" s="60">
        <v>10</v>
      </c>
      <c r="M103" s="61">
        <v>16</v>
      </c>
      <c r="N103" s="60">
        <v>44</v>
      </c>
      <c r="O103" s="60">
        <v>21</v>
      </c>
      <c r="P103" s="61">
        <v>23</v>
      </c>
    </row>
    <row r="104" spans="1:16" ht="15">
      <c r="A104" s="340"/>
      <c r="B104" s="341"/>
      <c r="C104" s="340"/>
      <c r="D104" s="58">
        <v>83</v>
      </c>
      <c r="E104" s="62">
        <v>155</v>
      </c>
      <c r="F104" s="62">
        <v>66</v>
      </c>
      <c r="G104" s="62">
        <v>89</v>
      </c>
      <c r="H104" s="62">
        <v>120</v>
      </c>
      <c r="I104" s="62">
        <v>53</v>
      </c>
      <c r="J104" s="62">
        <v>67</v>
      </c>
      <c r="K104" s="62">
        <v>19</v>
      </c>
      <c r="L104" s="62">
        <v>7</v>
      </c>
      <c r="M104" s="62">
        <v>12</v>
      </c>
      <c r="N104" s="62">
        <v>16</v>
      </c>
      <c r="O104" s="62">
        <v>6</v>
      </c>
      <c r="P104" s="62">
        <v>10</v>
      </c>
    </row>
    <row r="105" spans="1:16">
      <c r="A105" s="340"/>
      <c r="B105" s="341"/>
      <c r="C105" s="340"/>
      <c r="D105" s="59">
        <v>84</v>
      </c>
      <c r="E105" s="60">
        <v>141</v>
      </c>
      <c r="F105" s="60">
        <v>64</v>
      </c>
      <c r="G105" s="61">
        <v>77</v>
      </c>
      <c r="H105" s="60">
        <v>95</v>
      </c>
      <c r="I105" s="60">
        <v>39</v>
      </c>
      <c r="J105" s="61">
        <v>56</v>
      </c>
      <c r="K105" s="60">
        <v>19</v>
      </c>
      <c r="L105" s="60">
        <v>9</v>
      </c>
      <c r="M105" s="61">
        <v>10</v>
      </c>
      <c r="N105" s="60">
        <v>27</v>
      </c>
      <c r="O105" s="60">
        <v>16</v>
      </c>
      <c r="P105" s="61">
        <v>11</v>
      </c>
    </row>
    <row r="106" spans="1:16" ht="28">
      <c r="A106" s="340"/>
      <c r="B106" s="341"/>
      <c r="C106" s="340"/>
      <c r="D106" s="58" t="s">
        <v>11</v>
      </c>
      <c r="E106" s="62">
        <v>856</v>
      </c>
      <c r="F106" s="62">
        <v>371</v>
      </c>
      <c r="G106" s="62">
        <v>485</v>
      </c>
      <c r="H106" s="62">
        <v>572</v>
      </c>
      <c r="I106" s="62">
        <v>237</v>
      </c>
      <c r="J106" s="62">
        <v>335</v>
      </c>
      <c r="K106" s="62">
        <v>116</v>
      </c>
      <c r="L106" s="62">
        <v>52</v>
      </c>
      <c r="M106" s="62">
        <v>64</v>
      </c>
      <c r="N106" s="62">
        <v>168</v>
      </c>
      <c r="O106" s="62">
        <v>82</v>
      </c>
      <c r="P106" s="62">
        <v>86</v>
      </c>
    </row>
    <row r="107" spans="1:16">
      <c r="A107" s="340"/>
      <c r="B107" s="341"/>
      <c r="C107" s="340" t="s">
        <v>28</v>
      </c>
      <c r="D107" s="59">
        <v>85</v>
      </c>
      <c r="E107" s="60">
        <v>113</v>
      </c>
      <c r="F107" s="60">
        <v>52</v>
      </c>
      <c r="G107" s="61">
        <v>61</v>
      </c>
      <c r="H107" s="60">
        <v>83</v>
      </c>
      <c r="I107" s="60">
        <v>34</v>
      </c>
      <c r="J107" s="61">
        <v>49</v>
      </c>
      <c r="K107" s="60">
        <v>15</v>
      </c>
      <c r="L107" s="60">
        <v>7</v>
      </c>
      <c r="M107" s="61">
        <v>8</v>
      </c>
      <c r="N107" s="60">
        <v>15</v>
      </c>
      <c r="O107" s="60">
        <v>11</v>
      </c>
      <c r="P107" s="61">
        <v>4</v>
      </c>
    </row>
    <row r="108" spans="1:16" ht="15">
      <c r="A108" s="340"/>
      <c r="B108" s="341"/>
      <c r="C108" s="340"/>
      <c r="D108" s="58">
        <v>86</v>
      </c>
      <c r="E108" s="62">
        <v>78</v>
      </c>
      <c r="F108" s="62">
        <v>28</v>
      </c>
      <c r="G108" s="62">
        <v>50</v>
      </c>
      <c r="H108" s="62">
        <v>60</v>
      </c>
      <c r="I108" s="62">
        <v>19</v>
      </c>
      <c r="J108" s="62">
        <v>41</v>
      </c>
      <c r="K108" s="62">
        <v>13</v>
      </c>
      <c r="L108" s="62">
        <v>6</v>
      </c>
      <c r="M108" s="62">
        <v>7</v>
      </c>
      <c r="N108" s="62">
        <v>5</v>
      </c>
      <c r="O108" s="62">
        <v>3</v>
      </c>
      <c r="P108" s="62">
        <v>2</v>
      </c>
    </row>
    <row r="109" spans="1:16">
      <c r="A109" s="340"/>
      <c r="B109" s="341"/>
      <c r="C109" s="340"/>
      <c r="D109" s="59">
        <v>87</v>
      </c>
      <c r="E109" s="60">
        <v>107</v>
      </c>
      <c r="F109" s="60">
        <v>36</v>
      </c>
      <c r="G109" s="61">
        <v>71</v>
      </c>
      <c r="H109" s="60">
        <v>65</v>
      </c>
      <c r="I109" s="60">
        <v>22</v>
      </c>
      <c r="J109" s="61">
        <v>43</v>
      </c>
      <c r="K109" s="60">
        <v>15</v>
      </c>
      <c r="L109" s="60">
        <v>6</v>
      </c>
      <c r="M109" s="61">
        <v>9</v>
      </c>
      <c r="N109" s="60">
        <v>27</v>
      </c>
      <c r="O109" s="60">
        <v>8</v>
      </c>
      <c r="P109" s="61">
        <v>19</v>
      </c>
    </row>
    <row r="110" spans="1:16" ht="15">
      <c r="A110" s="340"/>
      <c r="B110" s="341"/>
      <c r="C110" s="340"/>
      <c r="D110" s="58">
        <v>88</v>
      </c>
      <c r="E110" s="62">
        <v>75</v>
      </c>
      <c r="F110" s="62">
        <v>25</v>
      </c>
      <c r="G110" s="62">
        <v>50</v>
      </c>
      <c r="H110" s="62">
        <v>54</v>
      </c>
      <c r="I110" s="62">
        <v>16</v>
      </c>
      <c r="J110" s="62">
        <v>38</v>
      </c>
      <c r="K110" s="62">
        <v>12</v>
      </c>
      <c r="L110" s="62">
        <v>3</v>
      </c>
      <c r="M110" s="62">
        <v>9</v>
      </c>
      <c r="N110" s="62">
        <v>9</v>
      </c>
      <c r="O110" s="62">
        <v>6</v>
      </c>
      <c r="P110" s="62">
        <v>3</v>
      </c>
    </row>
    <row r="111" spans="1:16">
      <c r="A111" s="340"/>
      <c r="B111" s="341"/>
      <c r="C111" s="340"/>
      <c r="D111" s="59">
        <v>89</v>
      </c>
      <c r="E111" s="60">
        <v>66</v>
      </c>
      <c r="F111" s="60">
        <v>21</v>
      </c>
      <c r="G111" s="61">
        <v>45</v>
      </c>
      <c r="H111" s="60">
        <v>48</v>
      </c>
      <c r="I111" s="60">
        <v>15</v>
      </c>
      <c r="J111" s="61">
        <v>33</v>
      </c>
      <c r="K111" s="60">
        <v>8</v>
      </c>
      <c r="L111" s="60">
        <v>3</v>
      </c>
      <c r="M111" s="61">
        <v>5</v>
      </c>
      <c r="N111" s="60">
        <v>10</v>
      </c>
      <c r="O111" s="60">
        <v>3</v>
      </c>
      <c r="P111" s="61">
        <v>7</v>
      </c>
    </row>
    <row r="112" spans="1:16" ht="28">
      <c r="A112" s="340"/>
      <c r="B112" s="341"/>
      <c r="C112" s="340"/>
      <c r="D112" s="58" t="s">
        <v>11</v>
      </c>
      <c r="E112" s="62">
        <v>439</v>
      </c>
      <c r="F112" s="62">
        <v>162</v>
      </c>
      <c r="G112" s="62">
        <v>277</v>
      </c>
      <c r="H112" s="62">
        <v>310</v>
      </c>
      <c r="I112" s="62">
        <v>106</v>
      </c>
      <c r="J112" s="62">
        <v>204</v>
      </c>
      <c r="K112" s="62">
        <v>63</v>
      </c>
      <c r="L112" s="62">
        <v>25</v>
      </c>
      <c r="M112" s="62">
        <v>38</v>
      </c>
      <c r="N112" s="62">
        <v>66</v>
      </c>
      <c r="O112" s="62">
        <v>31</v>
      </c>
      <c r="P112" s="62">
        <v>35</v>
      </c>
    </row>
    <row r="113" spans="1:16">
      <c r="A113" s="340"/>
      <c r="B113" s="341"/>
      <c r="C113" s="340" t="s">
        <v>29</v>
      </c>
      <c r="D113" s="59">
        <v>90</v>
      </c>
      <c r="E113" s="60">
        <v>64</v>
      </c>
      <c r="F113" s="60">
        <v>23</v>
      </c>
      <c r="G113" s="61">
        <v>41</v>
      </c>
      <c r="H113" s="60">
        <v>48</v>
      </c>
      <c r="I113" s="60">
        <v>16</v>
      </c>
      <c r="J113" s="61">
        <v>32</v>
      </c>
      <c r="K113" s="60">
        <v>9</v>
      </c>
      <c r="L113" s="60">
        <v>4</v>
      </c>
      <c r="M113" s="61">
        <v>5</v>
      </c>
      <c r="N113" s="60">
        <v>7</v>
      </c>
      <c r="O113" s="60">
        <v>3</v>
      </c>
      <c r="P113" s="61">
        <v>4</v>
      </c>
    </row>
    <row r="114" spans="1:16" ht="15">
      <c r="A114" s="340"/>
      <c r="B114" s="341"/>
      <c r="C114" s="340"/>
      <c r="D114" s="58">
        <v>91</v>
      </c>
      <c r="E114" s="62">
        <v>39</v>
      </c>
      <c r="F114" s="62">
        <v>14</v>
      </c>
      <c r="G114" s="62">
        <v>25</v>
      </c>
      <c r="H114" s="62">
        <v>35</v>
      </c>
      <c r="I114" s="62">
        <v>14</v>
      </c>
      <c r="J114" s="62">
        <v>21</v>
      </c>
      <c r="K114" s="62">
        <v>3</v>
      </c>
      <c r="L114" s="62">
        <v>0</v>
      </c>
      <c r="M114" s="62">
        <v>3</v>
      </c>
      <c r="N114" s="62">
        <v>1</v>
      </c>
      <c r="O114" s="62">
        <v>0</v>
      </c>
      <c r="P114" s="62">
        <v>1</v>
      </c>
    </row>
    <row r="115" spans="1:16">
      <c r="A115" s="340"/>
      <c r="B115" s="341"/>
      <c r="C115" s="340"/>
      <c r="D115" s="59">
        <v>92</v>
      </c>
      <c r="E115" s="60">
        <v>40</v>
      </c>
      <c r="F115" s="60">
        <v>17</v>
      </c>
      <c r="G115" s="61">
        <v>23</v>
      </c>
      <c r="H115" s="60">
        <v>27</v>
      </c>
      <c r="I115" s="60">
        <v>12</v>
      </c>
      <c r="J115" s="61">
        <v>15</v>
      </c>
      <c r="K115" s="60">
        <v>5</v>
      </c>
      <c r="L115" s="60">
        <v>3</v>
      </c>
      <c r="M115" s="61">
        <v>2</v>
      </c>
      <c r="N115" s="60">
        <v>8</v>
      </c>
      <c r="O115" s="60">
        <v>2</v>
      </c>
      <c r="P115" s="61">
        <v>6</v>
      </c>
    </row>
    <row r="116" spans="1:16" ht="15">
      <c r="A116" s="340"/>
      <c r="B116" s="341"/>
      <c r="C116" s="340"/>
      <c r="D116" s="58">
        <v>93</v>
      </c>
      <c r="E116" s="62">
        <v>29</v>
      </c>
      <c r="F116" s="62">
        <v>14</v>
      </c>
      <c r="G116" s="62">
        <v>15</v>
      </c>
      <c r="H116" s="62">
        <v>23</v>
      </c>
      <c r="I116" s="62">
        <v>10</v>
      </c>
      <c r="J116" s="62">
        <v>13</v>
      </c>
      <c r="K116" s="62">
        <v>2</v>
      </c>
      <c r="L116" s="62">
        <v>2</v>
      </c>
      <c r="M116" s="62">
        <v>0</v>
      </c>
      <c r="N116" s="62">
        <v>4</v>
      </c>
      <c r="O116" s="62">
        <v>2</v>
      </c>
      <c r="P116" s="62">
        <v>2</v>
      </c>
    </row>
    <row r="117" spans="1:16">
      <c r="A117" s="340"/>
      <c r="B117" s="341"/>
      <c r="C117" s="340"/>
      <c r="D117" s="59">
        <v>94</v>
      </c>
      <c r="E117" s="60">
        <v>27</v>
      </c>
      <c r="F117" s="60">
        <v>10</v>
      </c>
      <c r="G117" s="61">
        <v>17</v>
      </c>
      <c r="H117" s="60">
        <v>21</v>
      </c>
      <c r="I117" s="60">
        <v>8</v>
      </c>
      <c r="J117" s="61">
        <v>13</v>
      </c>
      <c r="K117" s="60">
        <v>3</v>
      </c>
      <c r="L117" s="60">
        <v>1</v>
      </c>
      <c r="M117" s="61">
        <v>2</v>
      </c>
      <c r="N117" s="60">
        <v>3</v>
      </c>
      <c r="O117" s="60">
        <v>1</v>
      </c>
      <c r="P117" s="61">
        <v>2</v>
      </c>
    </row>
    <row r="118" spans="1:16" ht="28">
      <c r="A118" s="340"/>
      <c r="B118" s="341"/>
      <c r="C118" s="340"/>
      <c r="D118" s="58" t="s">
        <v>11</v>
      </c>
      <c r="E118" s="62">
        <v>199</v>
      </c>
      <c r="F118" s="62">
        <v>78</v>
      </c>
      <c r="G118" s="62">
        <v>121</v>
      </c>
      <c r="H118" s="62">
        <v>154</v>
      </c>
      <c r="I118" s="62">
        <v>60</v>
      </c>
      <c r="J118" s="62">
        <v>94</v>
      </c>
      <c r="K118" s="62">
        <v>22</v>
      </c>
      <c r="L118" s="62">
        <v>10</v>
      </c>
      <c r="M118" s="62">
        <v>12</v>
      </c>
      <c r="N118" s="62">
        <v>23</v>
      </c>
      <c r="O118" s="62">
        <v>8</v>
      </c>
      <c r="P118" s="62">
        <v>15</v>
      </c>
    </row>
    <row r="119" spans="1:16">
      <c r="A119" s="340"/>
      <c r="B119" s="341"/>
      <c r="C119" s="340" t="s">
        <v>30</v>
      </c>
      <c r="D119" s="59">
        <v>95</v>
      </c>
      <c r="E119" s="60">
        <v>26</v>
      </c>
      <c r="F119" s="60">
        <v>14</v>
      </c>
      <c r="G119" s="61">
        <v>12</v>
      </c>
      <c r="H119" s="60">
        <v>17</v>
      </c>
      <c r="I119" s="60">
        <v>8</v>
      </c>
      <c r="J119" s="61">
        <v>9</v>
      </c>
      <c r="K119" s="60">
        <v>4</v>
      </c>
      <c r="L119" s="60">
        <v>3</v>
      </c>
      <c r="M119" s="61">
        <v>1</v>
      </c>
      <c r="N119" s="60">
        <v>5</v>
      </c>
      <c r="O119" s="60">
        <v>3</v>
      </c>
      <c r="P119" s="61">
        <v>2</v>
      </c>
    </row>
    <row r="120" spans="1:16" ht="15">
      <c r="A120" s="340"/>
      <c r="B120" s="341"/>
      <c r="C120" s="340"/>
      <c r="D120" s="58">
        <v>96</v>
      </c>
      <c r="E120" s="62">
        <v>15</v>
      </c>
      <c r="F120" s="62">
        <v>3</v>
      </c>
      <c r="G120" s="62">
        <v>12</v>
      </c>
      <c r="H120" s="62">
        <v>9</v>
      </c>
      <c r="I120" s="62">
        <v>3</v>
      </c>
      <c r="J120" s="62">
        <v>6</v>
      </c>
      <c r="K120" s="62">
        <v>2</v>
      </c>
      <c r="L120" s="62">
        <v>0</v>
      </c>
      <c r="M120" s="62">
        <v>2</v>
      </c>
      <c r="N120" s="62">
        <v>4</v>
      </c>
      <c r="O120" s="62">
        <v>0</v>
      </c>
      <c r="P120" s="62">
        <v>4</v>
      </c>
    </row>
    <row r="121" spans="1:16">
      <c r="A121" s="340"/>
      <c r="B121" s="341"/>
      <c r="C121" s="340"/>
      <c r="D121" s="59">
        <v>97</v>
      </c>
      <c r="E121" s="60">
        <v>16</v>
      </c>
      <c r="F121" s="60">
        <v>6</v>
      </c>
      <c r="G121" s="61">
        <v>10</v>
      </c>
      <c r="H121" s="60">
        <v>9</v>
      </c>
      <c r="I121" s="60">
        <v>0</v>
      </c>
      <c r="J121" s="61">
        <v>9</v>
      </c>
      <c r="K121" s="60">
        <v>2</v>
      </c>
      <c r="L121" s="60">
        <v>2</v>
      </c>
      <c r="M121" s="61">
        <v>0</v>
      </c>
      <c r="N121" s="60">
        <v>5</v>
      </c>
      <c r="O121" s="60">
        <v>4</v>
      </c>
      <c r="P121" s="61">
        <v>1</v>
      </c>
    </row>
    <row r="122" spans="1:16" ht="15">
      <c r="A122" s="340"/>
      <c r="B122" s="341"/>
      <c r="C122" s="340"/>
      <c r="D122" s="58">
        <v>98</v>
      </c>
      <c r="E122" s="62">
        <v>14</v>
      </c>
      <c r="F122" s="62">
        <v>5</v>
      </c>
      <c r="G122" s="62">
        <v>9</v>
      </c>
      <c r="H122" s="62">
        <v>9</v>
      </c>
      <c r="I122" s="62">
        <v>3</v>
      </c>
      <c r="J122" s="62">
        <v>6</v>
      </c>
      <c r="K122" s="62">
        <v>2</v>
      </c>
      <c r="L122" s="62">
        <v>1</v>
      </c>
      <c r="M122" s="62">
        <v>1</v>
      </c>
      <c r="N122" s="62">
        <v>3</v>
      </c>
      <c r="O122" s="62">
        <v>1</v>
      </c>
      <c r="P122" s="62">
        <v>2</v>
      </c>
    </row>
    <row r="123" spans="1:16">
      <c r="A123" s="340"/>
      <c r="B123" s="341"/>
      <c r="C123" s="340"/>
      <c r="D123" s="59">
        <v>99</v>
      </c>
      <c r="E123" s="60">
        <v>14</v>
      </c>
      <c r="F123" s="60">
        <v>6</v>
      </c>
      <c r="G123" s="61">
        <v>8</v>
      </c>
      <c r="H123" s="60">
        <v>10</v>
      </c>
      <c r="I123" s="60">
        <v>4</v>
      </c>
      <c r="J123" s="61">
        <v>6</v>
      </c>
      <c r="K123" s="60">
        <v>1</v>
      </c>
      <c r="L123" s="60">
        <v>1</v>
      </c>
      <c r="M123" s="61">
        <v>0</v>
      </c>
      <c r="N123" s="60">
        <v>3</v>
      </c>
      <c r="O123" s="60">
        <v>1</v>
      </c>
      <c r="P123" s="61">
        <v>2</v>
      </c>
    </row>
    <row r="124" spans="1:16" ht="28">
      <c r="A124" s="340"/>
      <c r="B124" s="341"/>
      <c r="C124" s="340"/>
      <c r="D124" s="58" t="s">
        <v>11</v>
      </c>
      <c r="E124" s="62">
        <v>85</v>
      </c>
      <c r="F124" s="62">
        <v>34</v>
      </c>
      <c r="G124" s="62">
        <v>51</v>
      </c>
      <c r="H124" s="62">
        <v>54</v>
      </c>
      <c r="I124" s="62">
        <v>18</v>
      </c>
      <c r="J124" s="62">
        <v>36</v>
      </c>
      <c r="K124" s="62">
        <v>11</v>
      </c>
      <c r="L124" s="62">
        <v>7</v>
      </c>
      <c r="M124" s="62">
        <v>4</v>
      </c>
      <c r="N124" s="62">
        <v>20</v>
      </c>
      <c r="O124" s="62">
        <v>9</v>
      </c>
      <c r="P124" s="62">
        <v>11</v>
      </c>
    </row>
    <row r="125" spans="1:16">
      <c r="A125" s="340"/>
      <c r="B125" s="341"/>
      <c r="C125" s="340" t="s">
        <v>31</v>
      </c>
      <c r="D125" s="59">
        <v>100</v>
      </c>
      <c r="E125" s="60">
        <v>8</v>
      </c>
      <c r="F125" s="60">
        <v>3</v>
      </c>
      <c r="G125" s="61">
        <v>5</v>
      </c>
      <c r="H125" s="60">
        <v>7</v>
      </c>
      <c r="I125" s="60">
        <v>3</v>
      </c>
      <c r="J125" s="61">
        <v>4</v>
      </c>
      <c r="K125" s="60">
        <v>0</v>
      </c>
      <c r="L125" s="60">
        <v>0</v>
      </c>
      <c r="M125" s="61">
        <v>0</v>
      </c>
      <c r="N125" s="60">
        <v>1</v>
      </c>
      <c r="O125" s="60">
        <v>0</v>
      </c>
      <c r="P125" s="61">
        <v>1</v>
      </c>
    </row>
    <row r="126" spans="1:16" ht="15">
      <c r="A126" s="340"/>
      <c r="B126" s="341"/>
      <c r="C126" s="340"/>
      <c r="D126" s="58">
        <v>101</v>
      </c>
      <c r="E126" s="62">
        <v>6</v>
      </c>
      <c r="F126" s="62">
        <v>2</v>
      </c>
      <c r="G126" s="62">
        <v>4</v>
      </c>
      <c r="H126" s="62">
        <v>6</v>
      </c>
      <c r="I126" s="62">
        <v>2</v>
      </c>
      <c r="J126" s="62">
        <v>4</v>
      </c>
      <c r="K126" s="62">
        <v>0</v>
      </c>
      <c r="L126" s="62">
        <v>0</v>
      </c>
      <c r="M126" s="62">
        <v>0</v>
      </c>
      <c r="N126" s="62">
        <v>0</v>
      </c>
      <c r="O126" s="62">
        <v>0</v>
      </c>
      <c r="P126" s="62">
        <v>0</v>
      </c>
    </row>
    <row r="127" spans="1:16">
      <c r="A127" s="340"/>
      <c r="B127" s="341"/>
      <c r="C127" s="340"/>
      <c r="D127" s="59">
        <v>102</v>
      </c>
      <c r="E127" s="60">
        <v>3</v>
      </c>
      <c r="F127" s="60">
        <v>1</v>
      </c>
      <c r="G127" s="61">
        <v>2</v>
      </c>
      <c r="H127" s="60">
        <v>3</v>
      </c>
      <c r="I127" s="60">
        <v>1</v>
      </c>
      <c r="J127" s="61">
        <v>2</v>
      </c>
      <c r="K127" s="60">
        <v>0</v>
      </c>
      <c r="L127" s="60">
        <v>0</v>
      </c>
      <c r="M127" s="61">
        <v>0</v>
      </c>
      <c r="N127" s="60">
        <v>0</v>
      </c>
      <c r="O127" s="60">
        <v>0</v>
      </c>
      <c r="P127" s="61">
        <v>0</v>
      </c>
    </row>
    <row r="128" spans="1:16" ht="15">
      <c r="A128" s="340"/>
      <c r="B128" s="341"/>
      <c r="C128" s="340"/>
      <c r="D128" s="58">
        <v>103</v>
      </c>
      <c r="E128" s="62">
        <v>2</v>
      </c>
      <c r="F128" s="62">
        <v>0</v>
      </c>
      <c r="G128" s="62">
        <v>2</v>
      </c>
      <c r="H128" s="62">
        <v>2</v>
      </c>
      <c r="I128" s="62">
        <v>0</v>
      </c>
      <c r="J128" s="62">
        <v>2</v>
      </c>
      <c r="K128" s="62">
        <v>0</v>
      </c>
      <c r="L128" s="62">
        <v>0</v>
      </c>
      <c r="M128" s="62">
        <v>0</v>
      </c>
      <c r="N128" s="62">
        <v>0</v>
      </c>
      <c r="O128" s="62">
        <v>0</v>
      </c>
      <c r="P128" s="62">
        <v>0</v>
      </c>
    </row>
    <row r="129" spans="1:16">
      <c r="A129" s="340"/>
      <c r="B129" s="341"/>
      <c r="C129" s="340"/>
      <c r="D129" s="59">
        <v>104</v>
      </c>
      <c r="E129" s="60">
        <v>1</v>
      </c>
      <c r="F129" s="60">
        <v>1</v>
      </c>
      <c r="G129" s="61">
        <v>0</v>
      </c>
      <c r="H129" s="60">
        <v>1</v>
      </c>
      <c r="I129" s="60">
        <v>1</v>
      </c>
      <c r="J129" s="61">
        <v>0</v>
      </c>
      <c r="K129" s="60">
        <v>0</v>
      </c>
      <c r="L129" s="60">
        <v>0</v>
      </c>
      <c r="M129" s="61">
        <v>0</v>
      </c>
      <c r="N129" s="60">
        <v>0</v>
      </c>
      <c r="O129" s="60">
        <v>0</v>
      </c>
      <c r="P129" s="61">
        <v>0</v>
      </c>
    </row>
    <row r="130" spans="1:16" ht="28">
      <c r="A130" s="340"/>
      <c r="B130" s="341"/>
      <c r="C130" s="340"/>
      <c r="D130" s="58" t="s">
        <v>11</v>
      </c>
      <c r="E130" s="62">
        <v>20</v>
      </c>
      <c r="F130" s="62">
        <v>7</v>
      </c>
      <c r="G130" s="62">
        <v>13</v>
      </c>
      <c r="H130" s="62">
        <v>19</v>
      </c>
      <c r="I130" s="62">
        <v>7</v>
      </c>
      <c r="J130" s="62">
        <v>12</v>
      </c>
      <c r="K130" s="62">
        <v>0</v>
      </c>
      <c r="L130" s="62">
        <v>0</v>
      </c>
      <c r="M130" s="62">
        <v>0</v>
      </c>
      <c r="N130" s="62">
        <v>1</v>
      </c>
      <c r="O130" s="62">
        <v>0</v>
      </c>
      <c r="P130" s="62">
        <v>1</v>
      </c>
    </row>
    <row r="131" spans="1:16">
      <c r="A131" s="340"/>
      <c r="B131" s="341"/>
      <c r="C131" s="340" t="s">
        <v>32</v>
      </c>
      <c r="D131" s="59">
        <v>105</v>
      </c>
      <c r="E131" s="60">
        <v>2</v>
      </c>
      <c r="F131" s="60">
        <v>1</v>
      </c>
      <c r="G131" s="61">
        <v>1</v>
      </c>
      <c r="H131" s="60">
        <v>1</v>
      </c>
      <c r="I131" s="60">
        <v>1</v>
      </c>
      <c r="J131" s="61">
        <v>0</v>
      </c>
      <c r="K131" s="60">
        <v>0</v>
      </c>
      <c r="L131" s="60">
        <v>0</v>
      </c>
      <c r="M131" s="61">
        <v>0</v>
      </c>
      <c r="N131" s="60">
        <v>1</v>
      </c>
      <c r="O131" s="60">
        <v>0</v>
      </c>
      <c r="P131" s="61">
        <v>1</v>
      </c>
    </row>
    <row r="132" spans="1:16" ht="15">
      <c r="A132" s="340"/>
      <c r="B132" s="341"/>
      <c r="C132" s="340"/>
      <c r="D132" s="58">
        <v>106</v>
      </c>
      <c r="E132" s="62">
        <v>2</v>
      </c>
      <c r="F132" s="62">
        <v>1</v>
      </c>
      <c r="G132" s="62">
        <v>1</v>
      </c>
      <c r="H132" s="62">
        <v>1</v>
      </c>
      <c r="I132" s="62">
        <v>0</v>
      </c>
      <c r="J132" s="62">
        <v>1</v>
      </c>
      <c r="K132" s="62">
        <v>0</v>
      </c>
      <c r="L132" s="62">
        <v>0</v>
      </c>
      <c r="M132" s="62">
        <v>0</v>
      </c>
      <c r="N132" s="62">
        <v>1</v>
      </c>
      <c r="O132" s="62">
        <v>1</v>
      </c>
      <c r="P132" s="62">
        <v>0</v>
      </c>
    </row>
    <row r="133" spans="1:16" ht="28">
      <c r="A133" s="340"/>
      <c r="B133" s="341"/>
      <c r="C133" s="340"/>
      <c r="D133" s="59" t="s">
        <v>11</v>
      </c>
      <c r="E133" s="60">
        <v>4</v>
      </c>
      <c r="F133" s="60">
        <v>2</v>
      </c>
      <c r="G133" s="61">
        <v>2</v>
      </c>
      <c r="H133" s="60">
        <v>2</v>
      </c>
      <c r="I133" s="60">
        <v>1</v>
      </c>
      <c r="J133" s="61">
        <v>1</v>
      </c>
      <c r="K133" s="60">
        <v>0</v>
      </c>
      <c r="L133" s="60">
        <v>0</v>
      </c>
      <c r="M133" s="61">
        <v>0</v>
      </c>
      <c r="N133" s="60">
        <v>2</v>
      </c>
      <c r="O133" s="60">
        <v>1</v>
      </c>
      <c r="P133" s="61">
        <v>1</v>
      </c>
    </row>
    <row r="134" spans="1:16" ht="15">
      <c r="A134" s="340"/>
      <c r="B134" s="341"/>
      <c r="C134" s="340" t="s">
        <v>33</v>
      </c>
      <c r="D134" s="58">
        <v>111</v>
      </c>
      <c r="E134" s="62">
        <v>2</v>
      </c>
      <c r="F134" s="62">
        <v>0</v>
      </c>
      <c r="G134" s="62">
        <v>2</v>
      </c>
      <c r="H134" s="62">
        <v>1</v>
      </c>
      <c r="I134" s="62">
        <v>0</v>
      </c>
      <c r="J134" s="62">
        <v>1</v>
      </c>
      <c r="K134" s="62">
        <v>0</v>
      </c>
      <c r="L134" s="62">
        <v>0</v>
      </c>
      <c r="M134" s="62">
        <v>0</v>
      </c>
      <c r="N134" s="62">
        <v>1</v>
      </c>
      <c r="O134" s="62">
        <v>0</v>
      </c>
      <c r="P134" s="62">
        <v>1</v>
      </c>
    </row>
    <row r="135" spans="1:16">
      <c r="A135" s="340"/>
      <c r="B135" s="341"/>
      <c r="C135" s="340"/>
      <c r="D135" s="59">
        <v>113</v>
      </c>
      <c r="E135" s="60">
        <v>1</v>
      </c>
      <c r="F135" s="60">
        <v>1</v>
      </c>
      <c r="G135" s="61">
        <v>0</v>
      </c>
      <c r="H135" s="60">
        <v>1</v>
      </c>
      <c r="I135" s="60">
        <v>1</v>
      </c>
      <c r="J135" s="61">
        <v>0</v>
      </c>
      <c r="K135" s="60">
        <v>0</v>
      </c>
      <c r="L135" s="60">
        <v>0</v>
      </c>
      <c r="M135" s="61">
        <v>0</v>
      </c>
      <c r="N135" s="60">
        <v>0</v>
      </c>
      <c r="O135" s="60">
        <v>0</v>
      </c>
      <c r="P135" s="61">
        <v>0</v>
      </c>
    </row>
    <row r="136" spans="1:16" ht="15">
      <c r="A136" s="340"/>
      <c r="B136" s="341"/>
      <c r="C136" s="340"/>
      <c r="D136" s="58">
        <v>114</v>
      </c>
      <c r="E136" s="62">
        <v>1</v>
      </c>
      <c r="F136" s="62">
        <v>1</v>
      </c>
      <c r="G136" s="62">
        <v>0</v>
      </c>
      <c r="H136" s="62">
        <v>0</v>
      </c>
      <c r="I136" s="62">
        <v>0</v>
      </c>
      <c r="J136" s="62">
        <v>0</v>
      </c>
      <c r="K136" s="62">
        <v>1</v>
      </c>
      <c r="L136" s="62">
        <v>1</v>
      </c>
      <c r="M136" s="62">
        <v>0</v>
      </c>
      <c r="N136" s="62">
        <v>0</v>
      </c>
      <c r="O136" s="62">
        <v>0</v>
      </c>
      <c r="P136" s="62">
        <v>0</v>
      </c>
    </row>
    <row r="137" spans="1:16" ht="28">
      <c r="A137" s="340"/>
      <c r="B137" s="341"/>
      <c r="C137" s="340"/>
      <c r="D137" s="59" t="s">
        <v>11</v>
      </c>
      <c r="E137" s="60">
        <v>4</v>
      </c>
      <c r="F137" s="60">
        <v>2</v>
      </c>
      <c r="G137" s="61">
        <v>2</v>
      </c>
      <c r="H137" s="60">
        <v>2</v>
      </c>
      <c r="I137" s="60">
        <v>1</v>
      </c>
      <c r="J137" s="61">
        <v>1</v>
      </c>
      <c r="K137" s="60">
        <v>1</v>
      </c>
      <c r="L137" s="60">
        <v>1</v>
      </c>
      <c r="M137" s="61">
        <v>0</v>
      </c>
      <c r="N137" s="60">
        <v>1</v>
      </c>
      <c r="O137" s="60">
        <v>0</v>
      </c>
      <c r="P137" s="61">
        <v>1</v>
      </c>
    </row>
    <row r="138" spans="1:16" ht="15">
      <c r="A138" s="340"/>
      <c r="B138" s="341"/>
      <c r="C138" s="340" t="s">
        <v>34</v>
      </c>
      <c r="D138" s="58">
        <v>119</v>
      </c>
      <c r="E138" s="62">
        <v>1</v>
      </c>
      <c r="F138" s="62">
        <v>1</v>
      </c>
      <c r="G138" s="62">
        <v>0</v>
      </c>
      <c r="H138" s="62">
        <v>1</v>
      </c>
      <c r="I138" s="62">
        <v>1</v>
      </c>
      <c r="J138" s="62">
        <v>0</v>
      </c>
      <c r="K138" s="62">
        <v>0</v>
      </c>
      <c r="L138" s="62">
        <v>0</v>
      </c>
      <c r="M138" s="62">
        <v>0</v>
      </c>
      <c r="N138" s="62">
        <v>0</v>
      </c>
      <c r="O138" s="62">
        <v>0</v>
      </c>
      <c r="P138" s="62">
        <v>0</v>
      </c>
    </row>
    <row r="139" spans="1:16" ht="28">
      <c r="A139" s="340"/>
      <c r="B139" s="341"/>
      <c r="C139" s="340"/>
      <c r="D139" s="59" t="s">
        <v>11</v>
      </c>
      <c r="E139" s="60">
        <v>1</v>
      </c>
      <c r="F139" s="60">
        <v>1</v>
      </c>
      <c r="G139" s="61">
        <v>0</v>
      </c>
      <c r="H139" s="60">
        <v>1</v>
      </c>
      <c r="I139" s="60">
        <v>1</v>
      </c>
      <c r="J139" s="61">
        <v>0</v>
      </c>
      <c r="K139" s="60">
        <v>0</v>
      </c>
      <c r="L139" s="60">
        <v>0</v>
      </c>
      <c r="M139" s="61">
        <v>0</v>
      </c>
      <c r="N139" s="60">
        <v>0</v>
      </c>
      <c r="O139" s="60">
        <v>0</v>
      </c>
      <c r="P139" s="61">
        <v>0</v>
      </c>
    </row>
    <row r="140" spans="1:16" ht="15">
      <c r="A140" s="56"/>
      <c r="B140" s="56"/>
      <c r="H140" s="48"/>
      <c r="I140" s="48"/>
      <c r="J140" s="48"/>
      <c r="K140" s="48"/>
      <c r="L140" s="48"/>
      <c r="M140" s="48"/>
      <c r="N140" s="48"/>
      <c r="O140" s="48"/>
      <c r="P140" s="48"/>
    </row>
    <row r="141" spans="1:16" ht="15" thickBot="1">
      <c r="A141" s="64"/>
      <c r="B141" s="64"/>
    </row>
    <row r="142" spans="1:16" ht="31.5" customHeight="1" thickBot="1">
      <c r="A142" s="65" t="s">
        <v>35</v>
      </c>
      <c r="B142" s="71">
        <v>825364</v>
      </c>
      <c r="C142" s="63"/>
      <c r="E142" s="271" t="s">
        <v>36</v>
      </c>
      <c r="F142" s="272">
        <f>1000*('DF2018'!C17/'PT2018'!B142)</f>
        <v>3.3427675546789053</v>
      </c>
    </row>
    <row r="143" spans="1:16" ht="32.5" customHeight="1" thickBot="1">
      <c r="A143" s="68" t="s">
        <v>37</v>
      </c>
      <c r="B143" s="72">
        <f>SUM(E139,E137,E133,E130,E124,E118,E112,E106,E100,E94,E88,E82,E76,E70,E64,E58,E52,E46,E40,E34,E28,E22,E16,E10)</f>
        <v>177573</v>
      </c>
      <c r="C143" s="63"/>
      <c r="E143" s="273" t="s">
        <v>38</v>
      </c>
      <c r="F143" s="274">
        <f>1000*('DF2018'!C18/'PT2018'!B143)</f>
        <v>4.8205526741114921</v>
      </c>
    </row>
    <row r="144" spans="1:16" ht="32.5" customHeight="1" thickBot="1">
      <c r="A144" s="65"/>
      <c r="B144" s="73"/>
      <c r="C144" s="63"/>
      <c r="E144" s="271" t="s">
        <v>426</v>
      </c>
      <c r="F144" s="275">
        <f>1000*('DF2018'!I17/'PT2018'!B148)</f>
        <v>3.8246972526996772</v>
      </c>
    </row>
    <row r="145" spans="1:14" ht="32.5" customHeight="1" thickBot="1">
      <c r="A145" s="69" t="s">
        <v>39</v>
      </c>
      <c r="B145" s="72">
        <v>86766</v>
      </c>
      <c r="C145" s="63"/>
      <c r="E145" s="273" t="s">
        <v>425</v>
      </c>
      <c r="F145" s="276">
        <f>1000*('DF2018'!I18/'PT2018'!B149)</f>
        <v>2.8802157906109236</v>
      </c>
    </row>
    <row r="146" spans="1:14" ht="36.65" customHeight="1" thickBot="1">
      <c r="A146" s="66" t="s">
        <v>40</v>
      </c>
      <c r="B146" s="71">
        <v>90807</v>
      </c>
      <c r="C146" s="63"/>
      <c r="E146" s="271" t="s">
        <v>424</v>
      </c>
      <c r="F146" s="272">
        <f>1000*('DF2018'!I20/'PT2018'!B145)</f>
        <v>5.7395754097227023</v>
      </c>
    </row>
    <row r="147" spans="1:14" ht="32.5" customHeight="1" thickBot="1">
      <c r="A147" s="68"/>
      <c r="B147" s="74"/>
      <c r="C147" s="63"/>
      <c r="E147" s="277" t="s">
        <v>212</v>
      </c>
      <c r="F147" s="278">
        <f>1000*('DF2018'!I21/'PT2018'!B146)</f>
        <v>3.9424273459094565</v>
      </c>
    </row>
    <row r="148" spans="1:14" ht="33.65" customHeight="1">
      <c r="A148" s="67" t="s">
        <v>41</v>
      </c>
      <c r="B148" s="71">
        <v>404215</v>
      </c>
      <c r="C148" s="63"/>
    </row>
    <row r="149" spans="1:14" ht="27" customHeight="1">
      <c r="A149" s="70" t="s">
        <v>42</v>
      </c>
      <c r="B149" s="72">
        <v>421149</v>
      </c>
      <c r="C149" s="63"/>
    </row>
    <row r="150" spans="1:14" ht="15.5" thickBot="1">
      <c r="A150" s="56"/>
      <c r="B150" s="142"/>
      <c r="C150" s="143"/>
      <c r="D150" s="51"/>
      <c r="E150" s="48"/>
      <c r="F150" s="48"/>
    </row>
    <row r="151" spans="1:14" ht="14.5" customHeight="1">
      <c r="E151" s="331" t="s">
        <v>354</v>
      </c>
      <c r="F151" s="332"/>
      <c r="G151" s="332"/>
      <c r="H151" s="332"/>
      <c r="I151" s="333"/>
    </row>
    <row r="152" spans="1:14" ht="14.5" customHeight="1">
      <c r="E152" s="334"/>
      <c r="F152" s="335"/>
      <c r="G152" s="335"/>
      <c r="H152" s="335"/>
      <c r="I152" s="336"/>
    </row>
    <row r="153" spans="1:14" ht="15" customHeight="1" thickBot="1">
      <c r="E153" s="337"/>
      <c r="F153" s="338"/>
      <c r="G153" s="338"/>
      <c r="H153" s="338"/>
      <c r="I153" s="339"/>
    </row>
    <row r="155" spans="1:14">
      <c r="H155" s="330"/>
      <c r="I155" s="330"/>
      <c r="J155" s="330"/>
      <c r="K155" s="330"/>
      <c r="L155" s="330"/>
      <c r="M155" s="330"/>
      <c r="N155" s="330"/>
    </row>
    <row r="156" spans="1:14">
      <c r="H156" s="330"/>
      <c r="I156" s="330"/>
      <c r="J156" s="330"/>
      <c r="K156" s="330"/>
      <c r="L156" s="330"/>
      <c r="M156" s="330"/>
      <c r="N156" s="330"/>
    </row>
    <row r="157" spans="1:14">
      <c r="H157" s="330"/>
      <c r="I157" s="330"/>
      <c r="J157" s="330"/>
      <c r="K157" s="330"/>
      <c r="L157" s="330"/>
      <c r="M157" s="330"/>
      <c r="N157" s="330"/>
    </row>
    <row r="158" spans="1:14">
      <c r="H158" s="330"/>
      <c r="I158" s="330"/>
      <c r="J158" s="330"/>
      <c r="K158" s="330"/>
      <c r="L158" s="330"/>
      <c r="M158" s="330"/>
      <c r="N158" s="330"/>
    </row>
    <row r="159" spans="1:14">
      <c r="H159" s="330"/>
      <c r="I159" s="330"/>
      <c r="J159" s="330"/>
      <c r="K159" s="330"/>
      <c r="L159" s="330"/>
      <c r="M159" s="330"/>
      <c r="N159" s="330"/>
    </row>
    <row r="160" spans="1:14">
      <c r="H160" s="330"/>
      <c r="I160" s="330"/>
      <c r="J160" s="330"/>
      <c r="K160" s="330"/>
      <c r="L160" s="330"/>
      <c r="M160" s="330"/>
      <c r="N160" s="330"/>
    </row>
    <row r="161" spans="8:14">
      <c r="H161" s="330"/>
      <c r="I161" s="330"/>
      <c r="J161" s="330"/>
      <c r="K161" s="330"/>
      <c r="L161" s="330"/>
      <c r="M161" s="330"/>
      <c r="N161" s="330"/>
    </row>
    <row r="162" spans="8:14">
      <c r="H162" s="330"/>
      <c r="I162" s="330"/>
      <c r="J162" s="330"/>
      <c r="K162" s="330"/>
      <c r="L162" s="330"/>
      <c r="M162" s="330"/>
      <c r="N162" s="330"/>
    </row>
    <row r="163" spans="8:14">
      <c r="H163" s="330"/>
      <c r="I163" s="330"/>
      <c r="J163" s="330"/>
      <c r="K163" s="330"/>
      <c r="L163" s="330"/>
      <c r="M163" s="330"/>
      <c r="N163" s="330"/>
    </row>
    <row r="164" spans="8:14">
      <c r="H164" s="330"/>
      <c r="I164" s="330"/>
      <c r="J164" s="330"/>
      <c r="K164" s="330"/>
      <c r="L164" s="330"/>
      <c r="M164" s="330"/>
      <c r="N164" s="330"/>
    </row>
    <row r="165" spans="8:14">
      <c r="H165" s="330"/>
      <c r="I165" s="330"/>
      <c r="J165" s="330"/>
      <c r="K165" s="330"/>
      <c r="L165" s="330"/>
      <c r="M165" s="330"/>
      <c r="N165" s="330"/>
    </row>
    <row r="166" spans="8:14">
      <c r="H166" s="330"/>
      <c r="I166" s="330"/>
      <c r="J166" s="330"/>
      <c r="K166" s="330"/>
      <c r="L166" s="330"/>
      <c r="M166" s="330"/>
      <c r="N166" s="330"/>
    </row>
    <row r="167" spans="8:14">
      <c r="H167" s="330"/>
      <c r="I167" s="330"/>
      <c r="J167" s="330"/>
      <c r="K167" s="330"/>
      <c r="L167" s="330"/>
      <c r="M167" s="330"/>
      <c r="N167" s="330"/>
    </row>
    <row r="168" spans="8:14">
      <c r="H168" s="330"/>
      <c r="I168" s="330"/>
      <c r="J168" s="330"/>
      <c r="K168" s="330"/>
      <c r="L168" s="330"/>
      <c r="M168" s="330"/>
      <c r="N168" s="330"/>
    </row>
    <row r="169" spans="8:14">
      <c r="H169" s="330"/>
      <c r="I169" s="330"/>
      <c r="J169" s="330"/>
      <c r="K169" s="330"/>
      <c r="L169" s="330"/>
      <c r="M169" s="330"/>
      <c r="N169" s="330"/>
    </row>
    <row r="170" spans="8:14">
      <c r="H170" s="330"/>
      <c r="I170" s="330"/>
      <c r="J170" s="330"/>
      <c r="K170" s="330"/>
      <c r="L170" s="330"/>
      <c r="M170" s="330"/>
      <c r="N170" s="330"/>
    </row>
    <row r="171" spans="8:14">
      <c r="H171" s="330"/>
      <c r="I171" s="330"/>
      <c r="J171" s="330"/>
      <c r="K171" s="330"/>
      <c r="L171" s="330"/>
      <c r="M171" s="330"/>
      <c r="N171" s="330"/>
    </row>
    <row r="1648" spans="1:7" ht="15">
      <c r="A1648" s="49"/>
      <c r="B1648" s="49"/>
      <c r="C1648" s="50"/>
      <c r="D1648" s="51"/>
      <c r="E1648" s="48"/>
      <c r="F1648" s="48"/>
      <c r="G1648" s="48"/>
    </row>
    <row r="1649" spans="1:7">
      <c r="A1649" s="49"/>
      <c r="B1649" s="49"/>
      <c r="C1649" s="50"/>
      <c r="D1649" s="52"/>
      <c r="E1649" s="53"/>
      <c r="F1649" s="53"/>
      <c r="G1649" s="54"/>
    </row>
    <row r="1650" spans="1:7" ht="15">
      <c r="A1650" s="49"/>
      <c r="B1650" s="49"/>
      <c r="C1650" s="50"/>
      <c r="D1650" s="51"/>
      <c r="E1650" s="48"/>
      <c r="F1650" s="48"/>
      <c r="G1650" s="48"/>
    </row>
    <row r="1651" spans="1:7">
      <c r="A1651" s="49"/>
      <c r="B1651" s="49"/>
      <c r="C1651" s="50"/>
      <c r="D1651" s="52"/>
      <c r="E1651" s="53"/>
      <c r="F1651" s="53"/>
      <c r="G1651" s="54"/>
    </row>
    <row r="1652" spans="1:7" ht="15">
      <c r="A1652" s="49"/>
      <c r="B1652" s="49"/>
      <c r="C1652" s="50"/>
      <c r="D1652" s="51"/>
      <c r="E1652" s="48"/>
      <c r="F1652" s="48"/>
      <c r="G1652" s="48"/>
    </row>
    <row r="1653" spans="1:7">
      <c r="A1653" s="49"/>
      <c r="B1653" s="49"/>
      <c r="C1653" s="50"/>
      <c r="D1653" s="52"/>
      <c r="E1653" s="53"/>
      <c r="F1653" s="53"/>
      <c r="G1653" s="54"/>
    </row>
    <row r="1654" spans="1:7" ht="15">
      <c r="A1654" s="49"/>
      <c r="B1654" s="49"/>
      <c r="C1654" s="50"/>
      <c r="D1654" s="51"/>
      <c r="E1654" s="48"/>
      <c r="F1654" s="48"/>
      <c r="G1654" s="48"/>
    </row>
    <row r="1655" spans="1:7">
      <c r="A1655" s="49"/>
      <c r="B1655" s="49"/>
      <c r="C1655" s="50"/>
      <c r="D1655" s="52"/>
      <c r="E1655" s="53"/>
      <c r="F1655" s="53"/>
      <c r="G1655" s="54"/>
    </row>
    <row r="1656" spans="1:7" ht="15">
      <c r="A1656" s="49"/>
      <c r="B1656" s="49"/>
      <c r="C1656" s="50"/>
      <c r="D1656" s="51"/>
      <c r="E1656" s="48"/>
      <c r="F1656" s="48"/>
      <c r="G1656" s="48"/>
    </row>
    <row r="1657" spans="1:7">
      <c r="A1657" s="49"/>
      <c r="B1657" s="49"/>
      <c r="C1657" s="50"/>
      <c r="D1657" s="52"/>
      <c r="E1657" s="53"/>
      <c r="F1657" s="53"/>
      <c r="G1657" s="54"/>
    </row>
    <row r="1658" spans="1:7" ht="15">
      <c r="A1658" s="49"/>
      <c r="B1658" s="49"/>
      <c r="C1658" s="50"/>
      <c r="D1658" s="51"/>
      <c r="E1658" s="48"/>
      <c r="F1658" s="48"/>
      <c r="G1658" s="48"/>
    </row>
    <row r="1659" spans="1:7">
      <c r="A1659" s="49"/>
      <c r="B1659" s="49"/>
      <c r="C1659" s="50"/>
      <c r="D1659" s="52"/>
      <c r="E1659" s="53"/>
      <c r="F1659" s="53"/>
      <c r="G1659" s="54"/>
    </row>
    <row r="1660" spans="1:7" ht="15">
      <c r="A1660" s="49"/>
      <c r="B1660" s="49"/>
      <c r="C1660" s="50"/>
      <c r="D1660" s="51"/>
      <c r="E1660" s="48"/>
      <c r="F1660" s="48"/>
      <c r="G1660" s="48"/>
    </row>
    <row r="1661" spans="1:7">
      <c r="A1661" s="49"/>
      <c r="B1661" s="49"/>
      <c r="C1661" s="50"/>
      <c r="D1661" s="52"/>
      <c r="E1661" s="53"/>
      <c r="F1661" s="53"/>
      <c r="G1661" s="54"/>
    </row>
    <row r="1662" spans="1:7" ht="15">
      <c r="A1662" s="49"/>
      <c r="B1662" s="49"/>
      <c r="C1662" s="50"/>
      <c r="D1662" s="51"/>
      <c r="E1662" s="48"/>
      <c r="F1662" s="48"/>
      <c r="G1662" s="48"/>
    </row>
    <row r="1663" spans="1:7">
      <c r="A1663" s="49"/>
      <c r="B1663" s="49"/>
      <c r="C1663" s="50"/>
      <c r="D1663" s="52"/>
      <c r="E1663" s="53"/>
      <c r="F1663" s="53"/>
      <c r="G1663" s="54"/>
    </row>
    <row r="1664" spans="1:7" ht="15">
      <c r="A1664" s="49"/>
      <c r="B1664" s="49"/>
      <c r="C1664" s="50"/>
      <c r="D1664" s="51"/>
      <c r="E1664" s="48"/>
      <c r="F1664" s="48"/>
      <c r="G1664" s="48"/>
    </row>
    <row r="1665" spans="1:7">
      <c r="A1665" s="49"/>
      <c r="B1665" s="49"/>
      <c r="C1665" s="50"/>
      <c r="D1665" s="52"/>
      <c r="E1665" s="53"/>
      <c r="F1665" s="53"/>
      <c r="G1665" s="54"/>
    </row>
    <row r="1666" spans="1:7" ht="15">
      <c r="A1666" s="49"/>
      <c r="B1666" s="49"/>
      <c r="C1666" s="50"/>
      <c r="D1666" s="51"/>
      <c r="E1666" s="48"/>
      <c r="F1666" s="48"/>
      <c r="G1666" s="48"/>
    </row>
    <row r="1667" spans="1:7">
      <c r="A1667" s="49"/>
      <c r="B1667" s="49"/>
      <c r="C1667" s="50"/>
      <c r="D1667" s="52"/>
      <c r="E1667" s="53"/>
      <c r="F1667" s="53"/>
      <c r="G1667" s="54"/>
    </row>
    <row r="1668" spans="1:7" ht="15">
      <c r="A1668" s="49"/>
      <c r="B1668" s="49"/>
      <c r="C1668" s="50"/>
      <c r="D1668" s="51"/>
      <c r="E1668" s="48"/>
      <c r="F1668" s="48"/>
      <c r="G1668" s="48"/>
    </row>
    <row r="1669" spans="1:7">
      <c r="A1669" s="49"/>
      <c r="B1669" s="49"/>
      <c r="C1669" s="50"/>
      <c r="D1669" s="52"/>
      <c r="E1669" s="53"/>
      <c r="F1669" s="53"/>
      <c r="G1669" s="54"/>
    </row>
    <row r="1670" spans="1:7" ht="15">
      <c r="A1670" s="49"/>
      <c r="B1670" s="49"/>
      <c r="C1670" s="50"/>
      <c r="D1670" s="51"/>
      <c r="E1670" s="48"/>
      <c r="F1670" s="48"/>
      <c r="G1670" s="48"/>
    </row>
    <row r="1671" spans="1:7">
      <c r="A1671" s="49"/>
      <c r="B1671" s="49"/>
      <c r="C1671" s="50"/>
      <c r="D1671" s="52"/>
      <c r="E1671" s="53"/>
      <c r="F1671" s="53"/>
      <c r="G1671" s="54"/>
    </row>
    <row r="1672" spans="1:7" ht="15">
      <c r="A1672" s="49"/>
      <c r="B1672" s="49"/>
      <c r="C1672" s="50"/>
      <c r="D1672" s="51"/>
      <c r="E1672" s="48"/>
      <c r="F1672" s="48"/>
      <c r="G1672" s="48"/>
    </row>
    <row r="1673" spans="1:7">
      <c r="A1673" s="49"/>
      <c r="B1673" s="49"/>
      <c r="C1673" s="50"/>
      <c r="D1673" s="52"/>
      <c r="E1673" s="53"/>
      <c r="F1673" s="53"/>
      <c r="G1673" s="54"/>
    </row>
    <row r="1674" spans="1:7" ht="15">
      <c r="A1674" s="49"/>
      <c r="B1674" s="49"/>
      <c r="C1674" s="50"/>
      <c r="D1674" s="51"/>
      <c r="E1674" s="48"/>
      <c r="F1674" s="48"/>
      <c r="G1674" s="48"/>
    </row>
    <row r="1675" spans="1:7">
      <c r="A1675" s="49"/>
      <c r="B1675" s="49"/>
      <c r="C1675" s="50"/>
      <c r="D1675" s="52"/>
      <c r="E1675" s="53"/>
      <c r="F1675" s="53"/>
      <c r="G1675" s="54"/>
    </row>
    <row r="1676" spans="1:7" ht="15">
      <c r="A1676" s="49"/>
      <c r="B1676" s="49"/>
      <c r="C1676" s="50"/>
      <c r="D1676" s="51"/>
      <c r="E1676" s="48"/>
      <c r="F1676" s="48"/>
      <c r="G1676" s="48"/>
    </row>
    <row r="1677" spans="1:7">
      <c r="A1677" s="49"/>
      <c r="B1677" s="49"/>
      <c r="C1677" s="50"/>
      <c r="D1677" s="52"/>
      <c r="E1677" s="53"/>
      <c r="F1677" s="53"/>
      <c r="G1677" s="54"/>
    </row>
    <row r="1678" spans="1:7" ht="15">
      <c r="A1678" s="49"/>
      <c r="B1678" s="49"/>
      <c r="C1678" s="50"/>
      <c r="D1678" s="51"/>
      <c r="E1678" s="48"/>
      <c r="F1678" s="48"/>
      <c r="G1678" s="48"/>
    </row>
    <row r="1679" spans="1:7">
      <c r="A1679" s="49"/>
      <c r="B1679" s="49"/>
      <c r="C1679" s="50"/>
      <c r="D1679" s="52"/>
      <c r="E1679" s="53"/>
      <c r="F1679" s="53"/>
      <c r="G1679" s="54"/>
    </row>
    <row r="1680" spans="1:7" ht="15">
      <c r="A1680" s="49"/>
      <c r="B1680" s="49"/>
      <c r="C1680" s="50"/>
      <c r="D1680" s="51"/>
      <c r="E1680" s="48"/>
      <c r="F1680" s="48"/>
      <c r="G1680" s="48"/>
    </row>
    <row r="1681" spans="1:7">
      <c r="A1681" s="49"/>
      <c r="B1681" s="49"/>
      <c r="C1681" s="50"/>
      <c r="D1681" s="52"/>
      <c r="E1681" s="53"/>
      <c r="F1681" s="53"/>
      <c r="G1681" s="54"/>
    </row>
    <row r="1682" spans="1:7" ht="15">
      <c r="A1682" s="49"/>
      <c r="B1682" s="49"/>
      <c r="C1682" s="50"/>
      <c r="D1682" s="51"/>
      <c r="E1682" s="48"/>
      <c r="F1682" s="48"/>
      <c r="G1682" s="48"/>
    </row>
    <row r="1683" spans="1:7">
      <c r="A1683" s="49"/>
      <c r="B1683" s="49"/>
      <c r="C1683" s="50"/>
      <c r="D1683" s="52"/>
      <c r="E1683" s="53"/>
      <c r="F1683" s="53"/>
      <c r="G1683" s="54"/>
    </row>
    <row r="1684" spans="1:7" ht="15">
      <c r="A1684" s="49"/>
      <c r="B1684" s="49"/>
      <c r="C1684" s="50"/>
      <c r="D1684" s="51"/>
      <c r="E1684" s="48"/>
      <c r="F1684" s="48"/>
      <c r="G1684" s="48"/>
    </row>
    <row r="1685" spans="1:7">
      <c r="A1685" s="49"/>
      <c r="B1685" s="49"/>
      <c r="C1685" s="50"/>
      <c r="D1685" s="52"/>
      <c r="E1685" s="53"/>
      <c r="F1685" s="53"/>
      <c r="G1685" s="54"/>
    </row>
    <row r="1686" spans="1:7" ht="15">
      <c r="A1686" s="49"/>
      <c r="B1686" s="49"/>
      <c r="C1686" s="50"/>
      <c r="D1686" s="51"/>
      <c r="E1686" s="48"/>
      <c r="F1686" s="48"/>
      <c r="G1686" s="48"/>
    </row>
    <row r="1687" spans="1:7">
      <c r="A1687" s="49"/>
      <c r="B1687" s="49"/>
      <c r="C1687" s="50"/>
      <c r="D1687" s="52"/>
      <c r="E1687" s="53"/>
      <c r="F1687" s="53"/>
      <c r="G1687" s="54"/>
    </row>
    <row r="1688" spans="1:7" ht="15">
      <c r="A1688" s="49"/>
      <c r="B1688" s="49"/>
      <c r="C1688" s="50"/>
      <c r="D1688" s="51"/>
      <c r="E1688" s="48"/>
      <c r="F1688" s="48"/>
      <c r="G1688" s="48"/>
    </row>
    <row r="1689" spans="1:7">
      <c r="A1689" s="49"/>
      <c r="B1689" s="49"/>
      <c r="C1689" s="50"/>
      <c r="D1689" s="52"/>
      <c r="E1689" s="53"/>
      <c r="F1689" s="53"/>
      <c r="G1689" s="54"/>
    </row>
    <row r="1690" spans="1:7" ht="15">
      <c r="A1690" s="49"/>
      <c r="B1690" s="49"/>
      <c r="C1690" s="50"/>
      <c r="D1690" s="51"/>
      <c r="E1690" s="48"/>
      <c r="F1690" s="48"/>
      <c r="G1690" s="48"/>
    </row>
    <row r="1691" spans="1:7">
      <c r="A1691" s="49"/>
      <c r="B1691" s="49"/>
      <c r="C1691" s="50"/>
      <c r="D1691" s="52"/>
      <c r="E1691" s="53"/>
      <c r="F1691" s="53"/>
      <c r="G1691" s="54"/>
    </row>
    <row r="1692" spans="1:7" ht="15">
      <c r="A1692" s="49"/>
      <c r="B1692" s="49"/>
      <c r="C1692" s="50"/>
      <c r="D1692" s="51"/>
      <c r="E1692" s="48"/>
      <c r="F1692" s="48"/>
      <c r="G1692" s="48"/>
    </row>
    <row r="1693" spans="1:7">
      <c r="A1693" s="49"/>
      <c r="B1693" s="49"/>
      <c r="C1693" s="50"/>
      <c r="D1693" s="52"/>
      <c r="E1693" s="53"/>
      <c r="F1693" s="53"/>
      <c r="G1693" s="54"/>
    </row>
    <row r="1694" spans="1:7" ht="15">
      <c r="A1694" s="49"/>
      <c r="B1694" s="49"/>
      <c r="C1694" s="50"/>
      <c r="D1694" s="51"/>
      <c r="E1694" s="48"/>
      <c r="F1694" s="48"/>
      <c r="G1694" s="48"/>
    </row>
    <row r="1695" spans="1:7">
      <c r="A1695" s="49"/>
      <c r="B1695" s="49"/>
      <c r="C1695" s="50"/>
      <c r="D1695" s="52"/>
      <c r="E1695" s="53"/>
      <c r="F1695" s="53"/>
      <c r="G1695" s="54"/>
    </row>
    <row r="1696" spans="1:7" ht="15">
      <c r="A1696" s="49"/>
      <c r="B1696" s="49"/>
      <c r="C1696" s="50"/>
      <c r="D1696" s="51"/>
      <c r="E1696" s="48"/>
      <c r="F1696" s="48"/>
      <c r="G1696" s="48"/>
    </row>
    <row r="1697" spans="1:7">
      <c r="A1697" s="49"/>
      <c r="B1697" s="49"/>
      <c r="C1697" s="50"/>
      <c r="D1697" s="52"/>
      <c r="E1697" s="53"/>
      <c r="F1697" s="53"/>
      <c r="G1697" s="54"/>
    </row>
    <row r="1698" spans="1:7" ht="15">
      <c r="A1698" s="49"/>
      <c r="B1698" s="49"/>
      <c r="C1698" s="50"/>
      <c r="D1698" s="51"/>
      <c r="E1698" s="48"/>
      <c r="F1698" s="48"/>
      <c r="G1698" s="48"/>
    </row>
    <row r="1699" spans="1:7">
      <c r="A1699" s="49"/>
      <c r="B1699" s="49"/>
      <c r="C1699" s="50"/>
      <c r="D1699" s="52"/>
      <c r="E1699" s="53"/>
      <c r="F1699" s="53"/>
      <c r="G1699" s="54"/>
    </row>
    <row r="1700" spans="1:7" ht="15">
      <c r="A1700" s="49"/>
      <c r="B1700" s="49"/>
      <c r="C1700" s="50"/>
      <c r="D1700" s="51"/>
      <c r="E1700" s="48"/>
      <c r="F1700" s="48"/>
      <c r="G1700" s="48"/>
    </row>
    <row r="1701" spans="1:7">
      <c r="A1701" s="49"/>
      <c r="B1701" s="49"/>
      <c r="C1701" s="50"/>
      <c r="D1701" s="52"/>
      <c r="E1701" s="53"/>
      <c r="F1701" s="53"/>
      <c r="G1701" s="54"/>
    </row>
    <row r="1702" spans="1:7" ht="15">
      <c r="A1702" s="49"/>
      <c r="B1702" s="49"/>
      <c r="C1702" s="50"/>
      <c r="D1702" s="51"/>
      <c r="E1702" s="48"/>
      <c r="F1702" s="48"/>
      <c r="G1702" s="48"/>
    </row>
    <row r="1703" spans="1:7">
      <c r="A1703" s="49"/>
      <c r="B1703" s="49"/>
      <c r="C1703" s="50"/>
      <c r="D1703" s="52"/>
      <c r="E1703" s="53"/>
      <c r="F1703" s="53"/>
      <c r="G1703" s="54"/>
    </row>
    <row r="1704" spans="1:7" ht="15">
      <c r="A1704" s="49"/>
      <c r="B1704" s="49"/>
      <c r="C1704" s="50"/>
      <c r="D1704" s="51"/>
      <c r="E1704" s="48"/>
      <c r="F1704" s="48"/>
      <c r="G1704" s="48"/>
    </row>
    <row r="1705" spans="1:7">
      <c r="A1705" s="49"/>
      <c r="B1705" s="49"/>
      <c r="C1705" s="50"/>
      <c r="D1705" s="52"/>
      <c r="E1705" s="53"/>
      <c r="F1705" s="53"/>
      <c r="G1705" s="54"/>
    </row>
    <row r="1706" spans="1:7" ht="15">
      <c r="A1706" s="49"/>
      <c r="B1706" s="49"/>
      <c r="C1706" s="50"/>
      <c r="D1706" s="51"/>
      <c r="E1706" s="48"/>
      <c r="F1706" s="48"/>
      <c r="G1706" s="48"/>
    </row>
    <row r="1707" spans="1:7">
      <c r="A1707" s="49"/>
      <c r="B1707" s="49"/>
      <c r="C1707" s="50"/>
      <c r="D1707" s="52"/>
      <c r="E1707" s="53"/>
      <c r="F1707" s="53"/>
      <c r="G1707" s="54"/>
    </row>
    <row r="1708" spans="1:7" ht="15">
      <c r="A1708" s="49"/>
      <c r="B1708" s="49"/>
      <c r="C1708" s="50"/>
      <c r="D1708" s="51"/>
      <c r="E1708" s="48"/>
      <c r="F1708" s="48"/>
      <c r="G1708" s="48"/>
    </row>
    <row r="1709" spans="1:7">
      <c r="A1709" s="49"/>
      <c r="B1709" s="49"/>
      <c r="C1709" s="50"/>
      <c r="D1709" s="52"/>
      <c r="E1709" s="53"/>
      <c r="F1709" s="53"/>
      <c r="G1709" s="54"/>
    </row>
    <row r="1710" spans="1:7" ht="15">
      <c r="A1710" s="49"/>
      <c r="B1710" s="49"/>
      <c r="C1710" s="50"/>
      <c r="D1710" s="51"/>
      <c r="E1710" s="48"/>
      <c r="F1710" s="48"/>
      <c r="G1710" s="48"/>
    </row>
    <row r="1711" spans="1:7">
      <c r="A1711" s="49"/>
      <c r="B1711" s="49"/>
      <c r="C1711" s="50"/>
      <c r="D1711" s="52"/>
      <c r="E1711" s="53"/>
      <c r="F1711" s="53"/>
      <c r="G1711" s="54"/>
    </row>
    <row r="1712" spans="1:7" ht="15">
      <c r="A1712" s="49"/>
      <c r="B1712" s="49"/>
      <c r="C1712" s="50"/>
      <c r="D1712" s="51"/>
      <c r="E1712" s="48"/>
      <c r="F1712" s="48"/>
      <c r="G1712" s="48"/>
    </row>
    <row r="1713" spans="1:7">
      <c r="A1713" s="49"/>
      <c r="B1713" s="49"/>
      <c r="C1713" s="50"/>
      <c r="D1713" s="52"/>
      <c r="E1713" s="53"/>
      <c r="F1713" s="53"/>
      <c r="G1713" s="54"/>
    </row>
    <row r="1714" spans="1:7" ht="15">
      <c r="A1714" s="49"/>
      <c r="B1714" s="49"/>
      <c r="C1714" s="50"/>
      <c r="D1714" s="51"/>
      <c r="E1714" s="48"/>
      <c r="F1714" s="48"/>
      <c r="G1714" s="48"/>
    </row>
    <row r="1715" spans="1:7">
      <c r="A1715" s="49"/>
      <c r="B1715" s="49"/>
      <c r="C1715" s="50"/>
      <c r="D1715" s="52"/>
      <c r="E1715" s="53"/>
      <c r="F1715" s="53"/>
      <c r="G1715" s="54"/>
    </row>
    <row r="1716" spans="1:7" ht="15">
      <c r="A1716" s="49"/>
      <c r="B1716" s="49"/>
      <c r="C1716" s="50"/>
      <c r="D1716" s="51"/>
      <c r="E1716" s="48"/>
      <c r="F1716" s="48"/>
      <c r="G1716" s="48"/>
    </row>
    <row r="1717" spans="1:7">
      <c r="A1717" s="49"/>
      <c r="B1717" s="49"/>
      <c r="C1717" s="50"/>
      <c r="D1717" s="52"/>
      <c r="E1717" s="53"/>
      <c r="F1717" s="53"/>
      <c r="G1717" s="54"/>
    </row>
    <row r="1718" spans="1:7" ht="15">
      <c r="A1718" s="49"/>
      <c r="B1718" s="49"/>
      <c r="C1718" s="50"/>
      <c r="D1718" s="51"/>
      <c r="E1718" s="48"/>
      <c r="F1718" s="48"/>
      <c r="G1718" s="48"/>
    </row>
    <row r="1719" spans="1:7">
      <c r="A1719" s="49"/>
      <c r="B1719" s="49"/>
      <c r="C1719" s="50"/>
      <c r="D1719" s="52"/>
      <c r="E1719" s="53"/>
      <c r="F1719" s="53"/>
      <c r="G1719" s="54"/>
    </row>
    <row r="1720" spans="1:7" ht="15">
      <c r="A1720" s="49"/>
      <c r="B1720" s="49"/>
      <c r="C1720" s="50"/>
      <c r="D1720" s="51"/>
      <c r="E1720" s="48"/>
      <c r="F1720" s="48"/>
      <c r="G1720" s="48"/>
    </row>
    <row r="1721" spans="1:7">
      <c r="A1721" s="49"/>
      <c r="B1721" s="49"/>
      <c r="C1721" s="50"/>
      <c r="D1721" s="52"/>
      <c r="E1721" s="53"/>
      <c r="F1721" s="53"/>
      <c r="G1721" s="54"/>
    </row>
    <row r="1722" spans="1:7" ht="15">
      <c r="A1722" s="49"/>
      <c r="B1722" s="49"/>
      <c r="C1722" s="50"/>
      <c r="D1722" s="51"/>
      <c r="E1722" s="48"/>
      <c r="F1722" s="48"/>
      <c r="G1722" s="48"/>
    </row>
    <row r="1723" spans="1:7">
      <c r="A1723" s="49"/>
      <c r="B1723" s="49"/>
      <c r="C1723" s="50"/>
      <c r="D1723" s="52"/>
      <c r="E1723" s="53"/>
      <c r="F1723" s="53"/>
      <c r="G1723" s="54"/>
    </row>
    <row r="1724" spans="1:7" ht="15">
      <c r="A1724" s="49"/>
      <c r="B1724" s="49"/>
      <c r="C1724" s="50"/>
      <c r="D1724" s="51"/>
      <c r="E1724" s="48"/>
      <c r="F1724" s="48"/>
      <c r="G1724" s="48"/>
    </row>
    <row r="1725" spans="1:7">
      <c r="A1725" s="49"/>
      <c r="B1725" s="49"/>
      <c r="C1725" s="50"/>
      <c r="D1725" s="52"/>
      <c r="E1725" s="53"/>
      <c r="F1725" s="53"/>
      <c r="G1725" s="54"/>
    </row>
    <row r="1726" spans="1:7" ht="15">
      <c r="A1726" s="49"/>
      <c r="B1726" s="49"/>
      <c r="C1726" s="50"/>
      <c r="D1726" s="51"/>
      <c r="E1726" s="48"/>
      <c r="F1726" s="48"/>
      <c r="G1726" s="48"/>
    </row>
    <row r="1727" spans="1:7">
      <c r="A1727" s="49"/>
      <c r="B1727" s="49"/>
      <c r="C1727" s="50"/>
      <c r="D1727" s="52"/>
      <c r="E1727" s="53"/>
      <c r="F1727" s="53"/>
      <c r="G1727" s="54"/>
    </row>
    <row r="1728" spans="1:7" ht="15">
      <c r="A1728" s="49"/>
      <c r="B1728" s="49"/>
      <c r="C1728" s="50"/>
      <c r="D1728" s="51"/>
      <c r="E1728" s="48"/>
      <c r="F1728" s="48"/>
      <c r="G1728" s="48"/>
    </row>
    <row r="1729" spans="1:16">
      <c r="A1729" s="49"/>
      <c r="B1729" s="49"/>
      <c r="C1729" s="50"/>
      <c r="D1729" s="52"/>
      <c r="E1729" s="53"/>
      <c r="F1729" s="53"/>
      <c r="G1729" s="54"/>
    </row>
    <row r="1730" spans="1:16" ht="15">
      <c r="A1730" s="49"/>
      <c r="B1730" s="49"/>
      <c r="C1730" s="50"/>
      <c r="D1730" s="51"/>
      <c r="E1730" s="48"/>
      <c r="F1730" s="48"/>
      <c r="G1730" s="48"/>
    </row>
    <row r="1731" spans="1:16">
      <c r="A1731" s="49"/>
      <c r="B1731" s="49"/>
      <c r="C1731" s="50"/>
      <c r="D1731" s="52"/>
      <c r="E1731" s="53"/>
      <c r="F1731" s="53"/>
      <c r="G1731" s="54"/>
    </row>
    <row r="1732" spans="1:16" ht="15">
      <c r="A1732" s="49"/>
      <c r="B1732" s="49"/>
      <c r="C1732" s="50"/>
      <c r="D1732" s="51"/>
      <c r="E1732" s="48"/>
      <c r="F1732" s="48"/>
      <c r="G1732" s="48"/>
      <c r="H1732" s="48"/>
      <c r="I1732" s="48"/>
      <c r="J1732" s="48"/>
      <c r="K1732" s="48"/>
      <c r="L1732" s="48"/>
      <c r="M1732" s="48"/>
      <c r="N1732" s="48"/>
      <c r="O1732" s="48"/>
      <c r="P1732" s="48"/>
    </row>
    <row r="1733" spans="1:16">
      <c r="A1733" s="49"/>
      <c r="B1733" s="49"/>
      <c r="C1733" s="50"/>
      <c r="D1733" s="52"/>
      <c r="E1733" s="53"/>
      <c r="F1733" s="53"/>
      <c r="G1733" s="54"/>
      <c r="H1733" s="53"/>
      <c r="I1733" s="53"/>
      <c r="J1733" s="54"/>
      <c r="K1733" s="53"/>
      <c r="L1733" s="53"/>
      <c r="M1733" s="54"/>
      <c r="N1733" s="53"/>
      <c r="O1733" s="53"/>
      <c r="P1733" s="54"/>
    </row>
    <row r="1734" spans="1:16" ht="15">
      <c r="A1734" s="49"/>
      <c r="B1734" s="49"/>
      <c r="C1734" s="50"/>
      <c r="D1734" s="51"/>
      <c r="E1734" s="48"/>
      <c r="F1734" s="48"/>
      <c r="G1734" s="48"/>
      <c r="H1734" s="48"/>
      <c r="I1734" s="48"/>
      <c r="J1734" s="48"/>
      <c r="K1734" s="48"/>
      <c r="L1734" s="48"/>
      <c r="M1734" s="48"/>
      <c r="N1734" s="48"/>
      <c r="O1734" s="48"/>
      <c r="P1734" s="48"/>
    </row>
    <row r="1735" spans="1:16">
      <c r="A1735" s="49"/>
      <c r="B1735" s="49"/>
      <c r="C1735" s="50"/>
      <c r="D1735" s="52"/>
      <c r="E1735" s="53"/>
      <c r="F1735" s="53"/>
      <c r="G1735" s="54"/>
      <c r="H1735" s="53"/>
      <c r="I1735" s="53"/>
      <c r="J1735" s="54"/>
      <c r="K1735" s="53"/>
      <c r="L1735" s="53"/>
      <c r="M1735" s="54"/>
      <c r="N1735" s="53"/>
      <c r="O1735" s="53"/>
      <c r="P1735" s="54"/>
    </row>
    <row r="1736" spans="1:16" ht="15">
      <c r="A1736" s="49"/>
      <c r="B1736" s="49"/>
      <c r="C1736" s="50"/>
      <c r="D1736" s="51"/>
      <c r="E1736" s="48"/>
      <c r="F1736" s="48"/>
      <c r="G1736" s="48"/>
      <c r="H1736" s="48"/>
      <c r="I1736" s="48"/>
      <c r="J1736" s="48"/>
      <c r="K1736" s="48"/>
      <c r="L1736" s="48"/>
      <c r="M1736" s="48"/>
      <c r="N1736" s="48"/>
      <c r="O1736" s="48"/>
      <c r="P1736" s="48"/>
    </row>
    <row r="1737" spans="1:16">
      <c r="A1737" s="49"/>
      <c r="B1737" s="49"/>
      <c r="C1737" s="50"/>
      <c r="D1737" s="52"/>
      <c r="E1737" s="53"/>
      <c r="F1737" s="53"/>
      <c r="G1737" s="54"/>
      <c r="H1737" s="53"/>
      <c r="I1737" s="53"/>
      <c r="J1737" s="54"/>
      <c r="K1737" s="53"/>
      <c r="L1737" s="53"/>
      <c r="M1737" s="54"/>
      <c r="N1737" s="53"/>
      <c r="O1737" s="53"/>
      <c r="P1737" s="54"/>
    </row>
    <row r="1738" spans="1:16" ht="15">
      <c r="A1738" s="49"/>
      <c r="B1738" s="49"/>
      <c r="C1738" s="50"/>
      <c r="D1738" s="51"/>
      <c r="E1738" s="48"/>
      <c r="F1738" s="48"/>
      <c r="G1738" s="48"/>
      <c r="H1738" s="48"/>
      <c r="I1738" s="48"/>
      <c r="J1738" s="48"/>
      <c r="K1738" s="48"/>
      <c r="L1738" s="48"/>
      <c r="M1738" s="48"/>
      <c r="N1738" s="48"/>
      <c r="O1738" s="48"/>
      <c r="P1738" s="48"/>
    </row>
    <row r="1739" spans="1:16">
      <c r="A1739" s="49"/>
      <c r="B1739" s="49"/>
      <c r="C1739" s="50"/>
      <c r="D1739" s="52"/>
      <c r="E1739" s="53"/>
      <c r="F1739" s="53"/>
      <c r="G1739" s="54"/>
      <c r="H1739" s="53"/>
      <c r="I1739" s="53"/>
      <c r="J1739" s="54"/>
      <c r="K1739" s="53"/>
      <c r="L1739" s="53"/>
      <c r="M1739" s="54"/>
      <c r="N1739" s="53"/>
      <c r="O1739" s="53"/>
      <c r="P1739" s="54"/>
    </row>
    <row r="1740" spans="1:16" ht="15">
      <c r="A1740" s="49"/>
      <c r="B1740" s="49"/>
      <c r="C1740" s="50"/>
      <c r="D1740" s="51"/>
      <c r="E1740" s="48"/>
      <c r="F1740" s="48"/>
      <c r="G1740" s="48"/>
      <c r="H1740" s="48"/>
      <c r="I1740" s="48"/>
      <c r="J1740" s="48"/>
      <c r="K1740" s="48"/>
      <c r="L1740" s="48"/>
      <c r="M1740" s="48"/>
      <c r="N1740" s="48"/>
      <c r="O1740" s="48"/>
      <c r="P1740" s="48"/>
    </row>
    <row r="1741" spans="1:16">
      <c r="A1741" s="49"/>
      <c r="B1741" s="49"/>
      <c r="C1741" s="50"/>
      <c r="D1741" s="52"/>
      <c r="E1741" s="53"/>
      <c r="F1741" s="53"/>
      <c r="G1741" s="54"/>
      <c r="H1741" s="53"/>
      <c r="I1741" s="53"/>
      <c r="J1741" s="54"/>
      <c r="K1741" s="53"/>
      <c r="L1741" s="53"/>
      <c r="M1741" s="54"/>
      <c r="N1741" s="53"/>
      <c r="O1741" s="53"/>
      <c r="P1741" s="54"/>
    </row>
    <row r="1742" spans="1:16" ht="15">
      <c r="A1742" s="49"/>
      <c r="B1742" s="49"/>
      <c r="C1742" s="50"/>
      <c r="D1742" s="51"/>
      <c r="E1742" s="48"/>
      <c r="F1742" s="48"/>
      <c r="G1742" s="48"/>
      <c r="H1742" s="48"/>
      <c r="I1742" s="48"/>
      <c r="J1742" s="48"/>
      <c r="K1742" s="48"/>
      <c r="L1742" s="48"/>
      <c r="M1742" s="48"/>
      <c r="N1742" s="48"/>
      <c r="O1742" s="48"/>
      <c r="P1742" s="48"/>
    </row>
    <row r="1743" spans="1:16">
      <c r="A1743" s="49"/>
      <c r="B1743" s="49"/>
      <c r="C1743" s="50"/>
      <c r="D1743" s="52"/>
      <c r="E1743" s="53"/>
      <c r="F1743" s="53"/>
      <c r="G1743" s="54"/>
      <c r="H1743" s="53"/>
      <c r="I1743" s="53"/>
      <c r="J1743" s="54"/>
      <c r="K1743" s="53"/>
      <c r="L1743" s="53"/>
      <c r="M1743" s="54"/>
      <c r="N1743" s="53"/>
      <c r="O1743" s="53"/>
      <c r="P1743" s="54"/>
    </row>
    <row r="1744" spans="1:16" ht="15">
      <c r="A1744" s="49"/>
      <c r="B1744" s="49"/>
      <c r="C1744" s="50"/>
      <c r="D1744" s="51"/>
      <c r="E1744" s="48"/>
      <c r="F1744" s="48"/>
      <c r="G1744" s="48"/>
      <c r="H1744" s="48"/>
      <c r="I1744" s="48"/>
      <c r="J1744" s="48"/>
      <c r="K1744" s="48"/>
      <c r="L1744" s="48"/>
      <c r="M1744" s="48"/>
      <c r="N1744" s="48"/>
      <c r="O1744" s="48"/>
      <c r="P1744" s="48"/>
    </row>
    <row r="1745" spans="1:16">
      <c r="A1745" s="49"/>
      <c r="B1745" s="49"/>
      <c r="C1745" s="50"/>
      <c r="D1745" s="52"/>
      <c r="E1745" s="53"/>
      <c r="F1745" s="53"/>
      <c r="G1745" s="54"/>
      <c r="H1745" s="53"/>
      <c r="I1745" s="53"/>
      <c r="J1745" s="54"/>
      <c r="K1745" s="53"/>
      <c r="L1745" s="53"/>
      <c r="M1745" s="54"/>
      <c r="N1745" s="53"/>
      <c r="O1745" s="53"/>
      <c r="P1745" s="54"/>
    </row>
    <row r="1746" spans="1:16" ht="15">
      <c r="A1746" s="49"/>
      <c r="B1746" s="49"/>
      <c r="C1746" s="50"/>
      <c r="D1746" s="51"/>
      <c r="E1746" s="48"/>
      <c r="F1746" s="48"/>
      <c r="G1746" s="48"/>
      <c r="H1746" s="48"/>
      <c r="I1746" s="48"/>
      <c r="J1746" s="48"/>
      <c r="K1746" s="48"/>
      <c r="L1746" s="48"/>
      <c r="M1746" s="48"/>
      <c r="N1746" s="48"/>
      <c r="O1746" s="48"/>
      <c r="P1746" s="48"/>
    </row>
    <row r="1747" spans="1:16">
      <c r="A1747" s="49"/>
      <c r="B1747" s="49"/>
      <c r="C1747" s="50"/>
      <c r="D1747" s="52"/>
      <c r="E1747" s="53"/>
      <c r="F1747" s="53"/>
      <c r="G1747" s="54"/>
      <c r="H1747" s="53"/>
      <c r="I1747" s="53"/>
      <c r="J1747" s="54"/>
      <c r="K1747" s="53"/>
      <c r="L1747" s="53"/>
      <c r="M1747" s="54"/>
      <c r="N1747" s="53"/>
      <c r="O1747" s="53"/>
      <c r="P1747" s="54"/>
    </row>
    <row r="1748" spans="1:16" ht="15">
      <c r="A1748" s="49"/>
      <c r="B1748" s="49"/>
      <c r="C1748" s="50"/>
      <c r="D1748" s="51"/>
      <c r="E1748" s="48"/>
      <c r="F1748" s="48"/>
      <c r="G1748" s="48"/>
      <c r="H1748" s="48"/>
      <c r="I1748" s="48"/>
      <c r="J1748" s="48"/>
      <c r="K1748" s="48"/>
      <c r="L1748" s="48"/>
      <c r="M1748" s="48"/>
      <c r="N1748" s="48"/>
      <c r="O1748" s="48"/>
      <c r="P1748" s="48"/>
    </row>
    <row r="1749" spans="1:16">
      <c r="A1749" s="49"/>
      <c r="B1749" s="49"/>
      <c r="C1749" s="50"/>
      <c r="D1749" s="52"/>
      <c r="E1749" s="53"/>
      <c r="F1749" s="53"/>
      <c r="G1749" s="54"/>
      <c r="H1749" s="53"/>
      <c r="I1749" s="53"/>
      <c r="J1749" s="54"/>
      <c r="K1749" s="53"/>
      <c r="L1749" s="53"/>
      <c r="M1749" s="54"/>
      <c r="N1749" s="53"/>
      <c r="O1749" s="53"/>
      <c r="P1749" s="54"/>
    </row>
    <row r="1750" spans="1:16" ht="15">
      <c r="A1750" s="49"/>
      <c r="B1750" s="49"/>
      <c r="C1750" s="50"/>
      <c r="D1750" s="51"/>
      <c r="E1750" s="48"/>
      <c r="F1750" s="48"/>
      <c r="G1750" s="48"/>
      <c r="H1750" s="48"/>
      <c r="I1750" s="48"/>
      <c r="J1750" s="48"/>
      <c r="K1750" s="48"/>
      <c r="L1750" s="48"/>
      <c r="M1750" s="48"/>
      <c r="N1750" s="48"/>
      <c r="O1750" s="48"/>
      <c r="P1750" s="48"/>
    </row>
    <row r="1751" spans="1:16">
      <c r="A1751" s="49"/>
      <c r="B1751" s="49"/>
      <c r="C1751" s="50"/>
      <c r="D1751" s="52"/>
      <c r="E1751" s="53"/>
      <c r="F1751" s="53"/>
      <c r="G1751" s="54"/>
      <c r="H1751" s="53"/>
      <c r="I1751" s="53"/>
      <c r="J1751" s="54"/>
      <c r="K1751" s="53"/>
      <c r="L1751" s="53"/>
      <c r="M1751" s="54"/>
      <c r="N1751" s="53"/>
      <c r="O1751" s="53"/>
      <c r="P1751" s="54"/>
    </row>
    <row r="1752" spans="1:16" ht="15">
      <c r="A1752" s="49"/>
      <c r="B1752" s="49"/>
      <c r="C1752" s="50"/>
      <c r="D1752" s="51"/>
      <c r="E1752" s="48"/>
      <c r="F1752" s="48"/>
      <c r="G1752" s="48"/>
      <c r="H1752" s="48"/>
      <c r="I1752" s="48"/>
      <c r="J1752" s="48"/>
      <c r="K1752" s="48"/>
      <c r="L1752" s="48"/>
      <c r="M1752" s="48"/>
      <c r="N1752" s="48"/>
      <c r="O1752" s="48"/>
      <c r="P1752" s="48"/>
    </row>
    <row r="1753" spans="1:16">
      <c r="A1753" s="49"/>
      <c r="B1753" s="49"/>
      <c r="C1753" s="50"/>
      <c r="D1753" s="52"/>
      <c r="E1753" s="53"/>
      <c r="F1753" s="53"/>
      <c r="G1753" s="54"/>
      <c r="H1753" s="53"/>
      <c r="I1753" s="53"/>
      <c r="J1753" s="54"/>
      <c r="K1753" s="53"/>
      <c r="L1753" s="53"/>
      <c r="M1753" s="54"/>
      <c r="N1753" s="53"/>
      <c r="O1753" s="53"/>
      <c r="P1753" s="54"/>
    </row>
    <row r="1754" spans="1:16" ht="15">
      <c r="A1754" s="49"/>
      <c r="B1754" s="49"/>
      <c r="C1754" s="50"/>
      <c r="D1754" s="51"/>
      <c r="E1754" s="48"/>
      <c r="F1754" s="48"/>
      <c r="G1754" s="48"/>
      <c r="H1754" s="48"/>
      <c r="I1754" s="48"/>
      <c r="J1754" s="48"/>
      <c r="K1754" s="48"/>
      <c r="L1754" s="48"/>
      <c r="M1754" s="48"/>
      <c r="N1754" s="48"/>
      <c r="O1754" s="48"/>
      <c r="P1754" s="48"/>
    </row>
    <row r="1755" spans="1:16">
      <c r="A1755" s="49"/>
      <c r="B1755" s="49"/>
      <c r="C1755" s="50"/>
      <c r="D1755" s="52"/>
      <c r="E1755" s="53"/>
      <c r="F1755" s="53"/>
      <c r="G1755" s="54"/>
      <c r="H1755" s="53"/>
      <c r="I1755" s="53"/>
      <c r="J1755" s="54"/>
      <c r="K1755" s="53"/>
      <c r="L1755" s="53"/>
      <c r="M1755" s="54"/>
      <c r="N1755" s="53"/>
      <c r="O1755" s="53"/>
      <c r="P1755" s="54"/>
    </row>
    <row r="1756" spans="1:16" ht="15">
      <c r="A1756" s="49"/>
      <c r="B1756" s="49"/>
      <c r="C1756" s="50"/>
      <c r="D1756" s="51"/>
      <c r="E1756" s="48"/>
      <c r="F1756" s="48"/>
      <c r="G1756" s="48"/>
      <c r="H1756" s="48"/>
      <c r="I1756" s="48"/>
      <c r="J1756" s="48"/>
      <c r="K1756" s="48"/>
      <c r="L1756" s="48"/>
      <c r="M1756" s="48"/>
      <c r="N1756" s="48"/>
      <c r="O1756" s="48"/>
      <c r="P1756" s="48"/>
    </row>
    <row r="1757" spans="1:16">
      <c r="A1757" s="49"/>
      <c r="B1757" s="49"/>
      <c r="C1757" s="50"/>
      <c r="D1757" s="52"/>
      <c r="E1757" s="53"/>
      <c r="F1757" s="53"/>
      <c r="G1757" s="54"/>
      <c r="H1757" s="53"/>
      <c r="I1757" s="53"/>
      <c r="J1757" s="54"/>
      <c r="K1757" s="53"/>
      <c r="L1757" s="53"/>
      <c r="M1757" s="54"/>
      <c r="N1757" s="53"/>
      <c r="O1757" s="53"/>
      <c r="P1757" s="54"/>
    </row>
    <row r="1758" spans="1:16" ht="15">
      <c r="A1758" s="49"/>
      <c r="B1758" s="49"/>
      <c r="C1758" s="50"/>
      <c r="D1758" s="51"/>
      <c r="E1758" s="48"/>
      <c r="F1758" s="48"/>
      <c r="G1758" s="48"/>
      <c r="H1758" s="48"/>
      <c r="I1758" s="48"/>
      <c r="J1758" s="48"/>
      <c r="K1758" s="48"/>
      <c r="L1758" s="48"/>
      <c r="M1758" s="48"/>
      <c r="N1758" s="48"/>
      <c r="O1758" s="48"/>
      <c r="P1758" s="48"/>
    </row>
    <row r="1759" spans="1:16">
      <c r="A1759" s="49"/>
      <c r="B1759" s="49"/>
      <c r="C1759" s="50"/>
      <c r="D1759" s="52"/>
      <c r="E1759" s="53"/>
      <c r="F1759" s="53"/>
      <c r="G1759" s="54"/>
      <c r="H1759" s="53"/>
      <c r="I1759" s="53"/>
      <c r="J1759" s="54"/>
      <c r="K1759" s="53"/>
      <c r="L1759" s="53"/>
      <c r="M1759" s="54"/>
      <c r="N1759" s="53"/>
      <c r="O1759" s="53"/>
      <c r="P1759" s="54"/>
    </row>
    <row r="1760" spans="1:16" ht="15">
      <c r="A1760" s="49"/>
      <c r="B1760" s="49"/>
      <c r="C1760" s="50"/>
      <c r="D1760" s="51"/>
      <c r="E1760" s="48"/>
      <c r="F1760" s="48"/>
      <c r="G1760" s="48"/>
      <c r="H1760" s="48"/>
      <c r="I1760" s="48"/>
      <c r="J1760" s="48"/>
      <c r="K1760" s="48"/>
      <c r="L1760" s="48"/>
      <c r="M1760" s="48"/>
      <c r="N1760" s="48"/>
      <c r="O1760" s="48"/>
      <c r="P1760" s="48"/>
    </row>
    <row r="1761" spans="1:16">
      <c r="A1761" s="49"/>
      <c r="B1761" s="49"/>
      <c r="C1761" s="50"/>
      <c r="D1761" s="52"/>
      <c r="E1761" s="53"/>
      <c r="F1761" s="53"/>
      <c r="G1761" s="54"/>
      <c r="H1761" s="53"/>
      <c r="I1761" s="53"/>
      <c r="J1761" s="54"/>
      <c r="K1761" s="53"/>
      <c r="L1761" s="53"/>
      <c r="M1761" s="54"/>
      <c r="N1761" s="53"/>
      <c r="O1761" s="53"/>
      <c r="P1761" s="54"/>
    </row>
    <row r="1762" spans="1:16" ht="15">
      <c r="A1762" s="49"/>
      <c r="B1762" s="49"/>
      <c r="C1762" s="50"/>
      <c r="D1762" s="51"/>
      <c r="E1762" s="48"/>
      <c r="F1762" s="48"/>
      <c r="G1762" s="48"/>
      <c r="H1762" s="48"/>
      <c r="I1762" s="48"/>
      <c r="J1762" s="48"/>
      <c r="K1762" s="48"/>
      <c r="L1762" s="48"/>
      <c r="M1762" s="48"/>
      <c r="N1762" s="48"/>
      <c r="O1762" s="48"/>
      <c r="P1762" s="48"/>
    </row>
    <row r="1763" spans="1:16">
      <c r="A1763" s="49"/>
      <c r="B1763" s="49"/>
      <c r="C1763" s="50"/>
      <c r="D1763" s="52"/>
      <c r="E1763" s="53"/>
      <c r="F1763" s="53"/>
      <c r="G1763" s="54"/>
      <c r="H1763" s="53"/>
      <c r="I1763" s="53"/>
      <c r="J1763" s="54"/>
      <c r="K1763" s="53"/>
      <c r="L1763" s="53"/>
      <c r="M1763" s="54"/>
      <c r="N1763" s="53"/>
      <c r="O1763" s="53"/>
      <c r="P1763" s="54"/>
    </row>
    <row r="1764" spans="1:16" ht="15">
      <c r="A1764" s="49"/>
      <c r="B1764" s="49"/>
      <c r="C1764" s="50"/>
      <c r="D1764" s="51"/>
      <c r="E1764" s="48"/>
      <c r="F1764" s="48"/>
      <c r="G1764" s="48"/>
      <c r="H1764" s="48"/>
      <c r="I1764" s="48"/>
      <c r="J1764" s="48"/>
      <c r="K1764" s="48"/>
      <c r="L1764" s="48"/>
      <c r="M1764" s="48"/>
      <c r="N1764" s="48"/>
      <c r="O1764" s="48"/>
      <c r="P1764" s="48"/>
    </row>
    <row r="1765" spans="1:16">
      <c r="A1765" s="49"/>
      <c r="B1765" s="49"/>
      <c r="C1765" s="50"/>
      <c r="D1765" s="52"/>
      <c r="E1765" s="53"/>
      <c r="F1765" s="53"/>
      <c r="G1765" s="54"/>
      <c r="H1765" s="53"/>
      <c r="I1765" s="53"/>
      <c r="J1765" s="54"/>
      <c r="K1765" s="53"/>
      <c r="L1765" s="53"/>
      <c r="M1765" s="54"/>
      <c r="N1765" s="53"/>
      <c r="O1765" s="53"/>
      <c r="P1765" s="54"/>
    </row>
    <row r="1766" spans="1:16" ht="15">
      <c r="A1766" s="49"/>
      <c r="B1766" s="49"/>
      <c r="C1766" s="50"/>
      <c r="D1766" s="51"/>
      <c r="E1766" s="48"/>
      <c r="F1766" s="48"/>
      <c r="G1766" s="48"/>
      <c r="H1766" s="48"/>
      <c r="I1766" s="48"/>
      <c r="J1766" s="48"/>
      <c r="K1766" s="48"/>
      <c r="L1766" s="48"/>
      <c r="M1766" s="48"/>
      <c r="N1766" s="48"/>
      <c r="O1766" s="48"/>
      <c r="P1766" s="48"/>
    </row>
    <row r="1767" spans="1:16">
      <c r="A1767" s="49"/>
      <c r="B1767" s="49"/>
      <c r="C1767" s="50"/>
      <c r="D1767" s="52"/>
      <c r="E1767" s="53"/>
      <c r="F1767" s="53"/>
      <c r="G1767" s="54"/>
      <c r="H1767" s="53"/>
      <c r="I1767" s="53"/>
      <c r="J1767" s="54"/>
      <c r="K1767" s="53"/>
      <c r="L1767" s="53"/>
      <c r="M1767" s="54"/>
      <c r="N1767" s="53"/>
      <c r="O1767" s="53"/>
      <c r="P1767" s="54"/>
    </row>
    <row r="1768" spans="1:16" ht="15">
      <c r="A1768" s="49"/>
      <c r="B1768" s="49"/>
      <c r="C1768" s="50"/>
      <c r="D1768" s="51"/>
      <c r="E1768" s="48"/>
      <c r="F1768" s="48"/>
      <c r="G1768" s="48"/>
      <c r="H1768" s="48"/>
      <c r="I1768" s="48"/>
      <c r="J1768" s="48"/>
      <c r="K1768" s="48"/>
      <c r="L1768" s="48"/>
      <c r="M1768" s="48"/>
      <c r="N1768" s="48"/>
      <c r="O1768" s="48"/>
      <c r="P1768" s="48"/>
    </row>
    <row r="1769" spans="1:16">
      <c r="A1769" s="49"/>
      <c r="B1769" s="49"/>
      <c r="C1769" s="50"/>
      <c r="D1769" s="52"/>
      <c r="E1769" s="53"/>
      <c r="F1769" s="53"/>
      <c r="G1769" s="54"/>
      <c r="H1769" s="53"/>
      <c r="I1769" s="53"/>
      <c r="J1769" s="54"/>
      <c r="K1769" s="53"/>
      <c r="L1769" s="53"/>
      <c r="M1769" s="54"/>
      <c r="N1769" s="53"/>
      <c r="O1769" s="53"/>
      <c r="P1769" s="54"/>
    </row>
    <row r="1770" spans="1:16" ht="15">
      <c r="A1770" s="49"/>
      <c r="B1770" s="49"/>
      <c r="C1770" s="50"/>
      <c r="D1770" s="51"/>
      <c r="E1770" s="48"/>
      <c r="F1770" s="48"/>
      <c r="G1770" s="48"/>
      <c r="H1770" s="48"/>
      <c r="I1770" s="48"/>
      <c r="J1770" s="48"/>
      <c r="K1770" s="48"/>
      <c r="L1770" s="48"/>
      <c r="M1770" s="48"/>
      <c r="N1770" s="48"/>
      <c r="O1770" s="48"/>
      <c r="P1770" s="48"/>
    </row>
    <row r="1771" spans="1:16">
      <c r="A1771" s="49"/>
      <c r="B1771" s="49"/>
      <c r="C1771" s="50"/>
      <c r="D1771" s="52"/>
      <c r="E1771" s="53"/>
      <c r="F1771" s="53"/>
      <c r="G1771" s="54"/>
      <c r="H1771" s="53"/>
      <c r="I1771" s="53"/>
      <c r="J1771" s="54"/>
      <c r="K1771" s="53"/>
      <c r="L1771" s="53"/>
      <c r="M1771" s="54"/>
      <c r="N1771" s="53"/>
      <c r="O1771" s="53"/>
      <c r="P1771" s="54"/>
    </row>
    <row r="1772" spans="1:16" ht="15">
      <c r="A1772" s="49"/>
      <c r="B1772" s="49"/>
      <c r="C1772" s="50"/>
      <c r="D1772" s="51"/>
      <c r="E1772" s="48"/>
      <c r="F1772" s="48"/>
      <c r="G1772" s="48"/>
      <c r="H1772" s="48"/>
      <c r="I1772" s="48"/>
      <c r="J1772" s="48"/>
      <c r="K1772" s="48"/>
      <c r="L1772" s="48"/>
      <c r="M1772" s="48"/>
      <c r="N1772" s="48"/>
      <c r="O1772" s="48"/>
      <c r="P1772" s="48"/>
    </row>
    <row r="1773" spans="1:16">
      <c r="A1773" s="49"/>
      <c r="B1773" s="49"/>
      <c r="C1773" s="50"/>
      <c r="D1773" s="52"/>
      <c r="E1773" s="53"/>
      <c r="F1773" s="53"/>
      <c r="G1773" s="54"/>
      <c r="H1773" s="53"/>
      <c r="I1773" s="53"/>
      <c r="J1773" s="54"/>
      <c r="K1773" s="53"/>
      <c r="L1773" s="53"/>
      <c r="M1773" s="54"/>
      <c r="N1773" s="53"/>
      <c r="O1773" s="53"/>
      <c r="P1773" s="54"/>
    </row>
    <row r="1774" spans="1:16" ht="15">
      <c r="A1774" s="49"/>
      <c r="B1774" s="49"/>
      <c r="C1774" s="50"/>
      <c r="D1774" s="51"/>
      <c r="E1774" s="48"/>
      <c r="F1774" s="48"/>
      <c r="G1774" s="48"/>
      <c r="H1774" s="48"/>
      <c r="I1774" s="48"/>
      <c r="J1774" s="48"/>
      <c r="K1774" s="48"/>
      <c r="L1774" s="48"/>
      <c r="M1774" s="48"/>
      <c r="N1774" s="48"/>
      <c r="O1774" s="48"/>
      <c r="P1774" s="48"/>
    </row>
    <row r="1775" spans="1:16">
      <c r="A1775" s="49"/>
      <c r="B1775" s="49"/>
      <c r="C1775" s="50"/>
      <c r="D1775" s="52"/>
      <c r="E1775" s="53"/>
      <c r="F1775" s="53"/>
      <c r="G1775" s="54"/>
      <c r="H1775" s="53"/>
      <c r="I1775" s="53"/>
      <c r="J1775" s="54"/>
      <c r="K1775" s="53"/>
      <c r="L1775" s="53"/>
      <c r="M1775" s="54"/>
      <c r="N1775" s="53"/>
      <c r="O1775" s="53"/>
      <c r="P1775" s="54"/>
    </row>
    <row r="1776" spans="1:16" ht="15">
      <c r="A1776" s="49"/>
      <c r="B1776" s="49"/>
      <c r="C1776" s="50"/>
      <c r="D1776" s="51"/>
      <c r="E1776" s="48"/>
      <c r="F1776" s="48"/>
      <c r="G1776" s="48"/>
      <c r="H1776" s="48"/>
      <c r="I1776" s="48"/>
      <c r="J1776" s="48"/>
      <c r="K1776" s="48"/>
      <c r="L1776" s="48"/>
      <c r="M1776" s="48"/>
      <c r="N1776" s="48"/>
      <c r="O1776" s="48"/>
      <c r="P1776" s="48"/>
    </row>
    <row r="1777" spans="1:16">
      <c r="A1777" s="49"/>
      <c r="B1777" s="49"/>
      <c r="C1777" s="50"/>
      <c r="D1777" s="52"/>
      <c r="E1777" s="53"/>
      <c r="F1777" s="53"/>
      <c r="G1777" s="54"/>
      <c r="H1777" s="53"/>
      <c r="I1777" s="53"/>
      <c r="J1777" s="54"/>
      <c r="K1777" s="53"/>
      <c r="L1777" s="53"/>
      <c r="M1777" s="54"/>
      <c r="N1777" s="53"/>
      <c r="O1777" s="53"/>
      <c r="P1777" s="54"/>
    </row>
    <row r="1778" spans="1:16" ht="15">
      <c r="A1778" s="49"/>
      <c r="B1778" s="49"/>
      <c r="C1778" s="50"/>
      <c r="D1778" s="51"/>
      <c r="E1778" s="48"/>
      <c r="F1778" s="48"/>
      <c r="G1778" s="48"/>
      <c r="H1778" s="48"/>
      <c r="I1778" s="48"/>
      <c r="J1778" s="48"/>
      <c r="K1778" s="48"/>
      <c r="L1778" s="48"/>
      <c r="M1778" s="48"/>
      <c r="N1778" s="48"/>
      <c r="O1778" s="48"/>
      <c r="P1778" s="48"/>
    </row>
    <row r="1779" spans="1:16">
      <c r="A1779" s="49"/>
      <c r="B1779" s="49"/>
      <c r="C1779" s="50"/>
      <c r="D1779" s="52"/>
      <c r="E1779" s="53"/>
      <c r="F1779" s="53"/>
      <c r="G1779" s="54"/>
      <c r="H1779" s="53"/>
      <c r="I1779" s="53"/>
      <c r="J1779" s="54"/>
      <c r="K1779" s="53"/>
      <c r="L1779" s="53"/>
      <c r="M1779" s="54"/>
      <c r="N1779" s="53"/>
      <c r="O1779" s="53"/>
      <c r="P1779" s="54"/>
    </row>
    <row r="1780" spans="1:16" ht="15">
      <c r="A1780" s="49"/>
      <c r="B1780" s="49"/>
      <c r="C1780" s="50"/>
      <c r="D1780" s="51"/>
      <c r="E1780" s="48"/>
      <c r="F1780" s="48"/>
      <c r="G1780" s="48"/>
      <c r="H1780" s="48"/>
      <c r="I1780" s="48"/>
      <c r="J1780" s="48"/>
      <c r="K1780" s="48"/>
      <c r="L1780" s="48"/>
      <c r="M1780" s="48"/>
      <c r="N1780" s="48"/>
      <c r="O1780" s="48"/>
      <c r="P1780" s="48"/>
    </row>
    <row r="1781" spans="1:16">
      <c r="A1781" s="49"/>
      <c r="B1781" s="49"/>
      <c r="C1781" s="50"/>
      <c r="D1781" s="52"/>
      <c r="E1781" s="53"/>
      <c r="F1781" s="53"/>
      <c r="G1781" s="54"/>
      <c r="H1781" s="53"/>
      <c r="I1781" s="53"/>
      <c r="J1781" s="54"/>
      <c r="K1781" s="53"/>
      <c r="L1781" s="53"/>
      <c r="M1781" s="54"/>
      <c r="N1781" s="53"/>
      <c r="O1781" s="53"/>
      <c r="P1781" s="54"/>
    </row>
    <row r="1782" spans="1:16" ht="15">
      <c r="A1782" s="49"/>
      <c r="B1782" s="49"/>
      <c r="C1782" s="50"/>
      <c r="D1782" s="51"/>
      <c r="E1782" s="48"/>
      <c r="F1782" s="48"/>
      <c r="G1782" s="48"/>
      <c r="H1782" s="48"/>
      <c r="I1782" s="48"/>
      <c r="J1782" s="48"/>
      <c r="K1782" s="48"/>
      <c r="L1782" s="48"/>
      <c r="M1782" s="48"/>
      <c r="N1782" s="48"/>
      <c r="O1782" s="48"/>
      <c r="P1782" s="48"/>
    </row>
    <row r="1783" spans="1:16">
      <c r="A1783" s="49"/>
      <c r="B1783" s="49"/>
      <c r="C1783" s="50"/>
      <c r="D1783" s="52"/>
      <c r="E1783" s="53"/>
      <c r="F1783" s="53"/>
      <c r="G1783" s="54"/>
      <c r="H1783" s="53"/>
      <c r="I1783" s="53"/>
      <c r="J1783" s="54"/>
      <c r="K1783" s="53"/>
      <c r="L1783" s="53"/>
      <c r="M1783" s="54"/>
      <c r="N1783" s="53"/>
      <c r="O1783" s="53"/>
      <c r="P1783" s="54"/>
    </row>
    <row r="1784" spans="1:16" ht="15">
      <c r="A1784" s="49"/>
      <c r="B1784" s="49"/>
      <c r="C1784" s="50"/>
      <c r="D1784" s="51"/>
      <c r="E1784" s="48"/>
      <c r="F1784" s="48"/>
      <c r="G1784" s="48"/>
      <c r="H1784" s="48"/>
      <c r="I1784" s="48"/>
      <c r="J1784" s="48"/>
      <c r="K1784" s="48"/>
      <c r="L1784" s="48"/>
      <c r="M1784" s="48"/>
      <c r="N1784" s="48"/>
      <c r="O1784" s="48"/>
      <c r="P1784" s="48"/>
    </row>
    <row r="1785" spans="1:16">
      <c r="A1785" s="49"/>
      <c r="B1785" s="49"/>
      <c r="C1785" s="50"/>
      <c r="D1785" s="52"/>
      <c r="E1785" s="53"/>
      <c r="F1785" s="53"/>
      <c r="G1785" s="54"/>
      <c r="H1785" s="53"/>
      <c r="I1785" s="53"/>
      <c r="J1785" s="54"/>
      <c r="K1785" s="53"/>
      <c r="L1785" s="53"/>
      <c r="M1785" s="54"/>
      <c r="N1785" s="53"/>
      <c r="O1785" s="53"/>
      <c r="P1785" s="54"/>
    </row>
    <row r="1786" spans="1:16" ht="15">
      <c r="A1786" s="49"/>
      <c r="B1786" s="49"/>
      <c r="C1786" s="50"/>
      <c r="D1786" s="51"/>
      <c r="E1786" s="48"/>
      <c r="F1786" s="48"/>
      <c r="G1786" s="48"/>
      <c r="H1786" s="48"/>
      <c r="I1786" s="48"/>
      <c r="J1786" s="48"/>
      <c r="K1786" s="48"/>
      <c r="L1786" s="48"/>
      <c r="M1786" s="48"/>
      <c r="N1786" s="48"/>
      <c r="O1786" s="48"/>
      <c r="P1786" s="48"/>
    </row>
    <row r="1787" spans="1:16">
      <c r="A1787" s="49"/>
      <c r="B1787" s="49"/>
      <c r="C1787" s="50"/>
      <c r="D1787" s="52"/>
      <c r="E1787" s="53"/>
      <c r="F1787" s="53"/>
      <c r="G1787" s="54"/>
      <c r="H1787" s="53"/>
      <c r="I1787" s="53"/>
      <c r="J1787" s="54"/>
      <c r="K1787" s="53"/>
      <c r="L1787" s="53"/>
      <c r="M1787" s="54"/>
      <c r="N1787" s="53"/>
      <c r="O1787" s="53"/>
      <c r="P1787" s="54"/>
    </row>
    <row r="1788" spans="1:16" ht="15">
      <c r="A1788" s="49"/>
      <c r="B1788" s="49"/>
      <c r="C1788" s="50"/>
      <c r="D1788" s="51"/>
      <c r="E1788" s="48"/>
      <c r="F1788" s="48"/>
      <c r="G1788" s="48"/>
      <c r="H1788" s="48"/>
      <c r="I1788" s="48"/>
      <c r="J1788" s="48"/>
      <c r="K1788" s="48"/>
      <c r="L1788" s="48"/>
      <c r="M1788" s="48"/>
      <c r="N1788" s="48"/>
      <c r="O1788" s="48"/>
      <c r="P1788" s="48"/>
    </row>
    <row r="1789" spans="1:16">
      <c r="A1789" s="49"/>
      <c r="B1789" s="49"/>
      <c r="C1789" s="50"/>
      <c r="D1789" s="52"/>
      <c r="E1789" s="53"/>
      <c r="F1789" s="53"/>
      <c r="G1789" s="54"/>
      <c r="H1789" s="53"/>
      <c r="I1789" s="53"/>
      <c r="J1789" s="54"/>
      <c r="K1789" s="53"/>
      <c r="L1789" s="53"/>
      <c r="M1789" s="54"/>
      <c r="N1789" s="53"/>
      <c r="O1789" s="53"/>
      <c r="P1789" s="54"/>
    </row>
    <row r="1790" spans="1:16" ht="15">
      <c r="A1790" s="49"/>
      <c r="B1790" s="49"/>
      <c r="C1790" s="50"/>
      <c r="D1790" s="51"/>
      <c r="E1790" s="48"/>
      <c r="F1790" s="48"/>
      <c r="G1790" s="48"/>
      <c r="H1790" s="48"/>
      <c r="I1790" s="48"/>
      <c r="J1790" s="48"/>
      <c r="K1790" s="48"/>
      <c r="L1790" s="48"/>
      <c r="M1790" s="48"/>
      <c r="N1790" s="48"/>
      <c r="O1790" s="48"/>
      <c r="P1790" s="48"/>
    </row>
    <row r="1791" spans="1:16">
      <c r="A1791" s="49"/>
      <c r="B1791" s="49"/>
      <c r="C1791" s="50"/>
      <c r="D1791" s="52"/>
      <c r="E1791" s="53"/>
      <c r="F1791" s="53"/>
      <c r="G1791" s="54"/>
      <c r="H1791" s="53"/>
      <c r="I1791" s="53"/>
      <c r="J1791" s="54"/>
      <c r="K1791" s="53"/>
      <c r="L1791" s="53"/>
      <c r="M1791" s="54"/>
      <c r="N1791" s="53"/>
      <c r="O1791" s="53"/>
      <c r="P1791" s="54"/>
    </row>
    <row r="1792" spans="1:16" ht="15">
      <c r="A1792" s="49"/>
      <c r="B1792" s="49"/>
      <c r="C1792" s="50"/>
      <c r="D1792" s="51"/>
      <c r="E1792" s="48"/>
      <c r="F1792" s="48"/>
      <c r="G1792" s="48"/>
      <c r="H1792" s="48"/>
      <c r="I1792" s="48"/>
      <c r="J1792" s="48"/>
      <c r="K1792" s="48"/>
      <c r="L1792" s="48"/>
      <c r="M1792" s="48"/>
      <c r="N1792" s="48"/>
      <c r="O1792" s="48"/>
      <c r="P1792" s="48"/>
    </row>
    <row r="1793" spans="1:16">
      <c r="A1793" s="49"/>
      <c r="B1793" s="49"/>
      <c r="C1793" s="50"/>
      <c r="D1793" s="52"/>
      <c r="E1793" s="53"/>
      <c r="F1793" s="53"/>
      <c r="G1793" s="54"/>
      <c r="H1793" s="53"/>
      <c r="I1793" s="53"/>
      <c r="J1793" s="54"/>
      <c r="K1793" s="53"/>
      <c r="L1793" s="53"/>
      <c r="M1793" s="54"/>
      <c r="N1793" s="53"/>
      <c r="O1793" s="53"/>
      <c r="P1793" s="54"/>
    </row>
    <row r="1794" spans="1:16" ht="15">
      <c r="A1794" s="49"/>
      <c r="B1794" s="49"/>
      <c r="C1794" s="50"/>
      <c r="D1794" s="51"/>
      <c r="E1794" s="48"/>
      <c r="F1794" s="48"/>
      <c r="G1794" s="48"/>
      <c r="H1794" s="48"/>
      <c r="I1794" s="48"/>
      <c r="J1794" s="48"/>
      <c r="K1794" s="48"/>
      <c r="L1794" s="48"/>
      <c r="M1794" s="48"/>
      <c r="N1794" s="48"/>
      <c r="O1794" s="48"/>
      <c r="P1794" s="48"/>
    </row>
    <row r="1795" spans="1:16">
      <c r="A1795" s="49"/>
      <c r="B1795" s="49"/>
      <c r="C1795" s="50"/>
      <c r="D1795" s="52"/>
      <c r="E1795" s="53"/>
      <c r="F1795" s="53"/>
      <c r="G1795" s="54"/>
      <c r="H1795" s="53"/>
      <c r="I1795" s="53"/>
      <c r="J1795" s="54"/>
      <c r="K1795" s="53"/>
      <c r="L1795" s="53"/>
      <c r="M1795" s="54"/>
      <c r="N1795" s="53"/>
      <c r="O1795" s="53"/>
      <c r="P1795" s="54"/>
    </row>
    <row r="1796" spans="1:16" ht="15">
      <c r="A1796" s="49"/>
      <c r="B1796" s="49"/>
      <c r="C1796" s="50"/>
      <c r="D1796" s="51"/>
      <c r="E1796" s="48"/>
      <c r="F1796" s="48"/>
      <c r="G1796" s="48"/>
      <c r="H1796" s="48"/>
      <c r="I1796" s="48"/>
      <c r="J1796" s="48"/>
      <c r="K1796" s="48"/>
      <c r="L1796" s="48"/>
      <c r="M1796" s="48"/>
      <c r="N1796" s="48"/>
      <c r="O1796" s="48"/>
      <c r="P1796" s="48"/>
    </row>
    <row r="1797" spans="1:16">
      <c r="A1797" s="49"/>
      <c r="B1797" s="49"/>
      <c r="C1797" s="50"/>
      <c r="D1797" s="52"/>
      <c r="E1797" s="53"/>
      <c r="F1797" s="53"/>
      <c r="G1797" s="54"/>
      <c r="H1797" s="53"/>
      <c r="I1797" s="53"/>
      <c r="J1797" s="54"/>
      <c r="K1797" s="53"/>
      <c r="L1797" s="53"/>
      <c r="M1797" s="54"/>
      <c r="N1797" s="53"/>
      <c r="O1797" s="53"/>
      <c r="P1797" s="54"/>
    </row>
    <row r="1798" spans="1:16" ht="15">
      <c r="A1798" s="49"/>
      <c r="B1798" s="49"/>
      <c r="C1798" s="50"/>
      <c r="D1798" s="51"/>
      <c r="E1798" s="48"/>
      <c r="F1798" s="48"/>
      <c r="G1798" s="48"/>
      <c r="H1798" s="48"/>
      <c r="I1798" s="48"/>
      <c r="J1798" s="48"/>
      <c r="K1798" s="48"/>
      <c r="L1798" s="48"/>
      <c r="M1798" s="48"/>
      <c r="N1798" s="48"/>
      <c r="O1798" s="48"/>
      <c r="P1798" s="48"/>
    </row>
    <row r="1799" spans="1:16">
      <c r="A1799" s="49"/>
      <c r="B1799" s="49"/>
      <c r="C1799" s="50"/>
      <c r="D1799" s="52"/>
      <c r="E1799" s="53"/>
      <c r="F1799" s="53"/>
      <c r="G1799" s="54"/>
      <c r="H1799" s="53"/>
      <c r="I1799" s="53"/>
      <c r="J1799" s="54"/>
      <c r="K1799" s="53"/>
      <c r="L1799" s="53"/>
      <c r="M1799" s="54"/>
      <c r="N1799" s="53"/>
      <c r="O1799" s="53"/>
      <c r="P1799" s="54"/>
    </row>
    <row r="1800" spans="1:16" ht="15">
      <c r="A1800" s="49"/>
      <c r="B1800" s="49"/>
      <c r="C1800" s="50"/>
      <c r="D1800" s="51"/>
      <c r="E1800" s="48"/>
      <c r="F1800" s="48"/>
      <c r="G1800" s="48"/>
      <c r="H1800" s="48"/>
      <c r="I1800" s="48"/>
      <c r="J1800" s="48"/>
      <c r="K1800" s="48"/>
      <c r="L1800" s="48"/>
      <c r="M1800" s="48"/>
      <c r="N1800" s="48"/>
      <c r="O1800" s="48"/>
      <c r="P1800" s="48"/>
    </row>
    <row r="1801" spans="1:16">
      <c r="A1801" s="49"/>
      <c r="B1801" s="49"/>
      <c r="C1801" s="50"/>
      <c r="D1801" s="52"/>
      <c r="E1801" s="53"/>
      <c r="F1801" s="53"/>
      <c r="G1801" s="54"/>
      <c r="H1801" s="53"/>
      <c r="I1801" s="53"/>
      <c r="J1801" s="54"/>
      <c r="K1801" s="53"/>
      <c r="L1801" s="53"/>
      <c r="M1801" s="54"/>
      <c r="N1801" s="53"/>
      <c r="O1801" s="53"/>
      <c r="P1801" s="54"/>
    </row>
    <row r="1802" spans="1:16" ht="15">
      <c r="A1802" s="49"/>
      <c r="B1802" s="49"/>
      <c r="C1802" s="50"/>
      <c r="D1802" s="51"/>
      <c r="E1802" s="48"/>
      <c r="F1802" s="48"/>
      <c r="G1802" s="48"/>
      <c r="H1802" s="48"/>
      <c r="I1802" s="48"/>
      <c r="J1802" s="48"/>
      <c r="K1802" s="48"/>
      <c r="L1802" s="48"/>
      <c r="M1802" s="48"/>
      <c r="N1802" s="48"/>
      <c r="O1802" s="48"/>
      <c r="P1802" s="48"/>
    </row>
    <row r="1803" spans="1:16">
      <c r="A1803" s="49"/>
      <c r="B1803" s="49"/>
      <c r="C1803" s="50"/>
      <c r="D1803" s="52"/>
      <c r="E1803" s="53"/>
      <c r="F1803" s="53"/>
      <c r="G1803" s="54"/>
      <c r="H1803" s="53"/>
      <c r="I1803" s="53"/>
      <c r="J1803" s="54"/>
      <c r="K1803" s="53"/>
      <c r="L1803" s="53"/>
      <c r="M1803" s="54"/>
      <c r="N1803" s="53"/>
      <c r="O1803" s="53"/>
      <c r="P1803" s="54"/>
    </row>
    <row r="1804" spans="1:16" ht="15">
      <c r="A1804" s="49"/>
      <c r="B1804" s="49"/>
      <c r="C1804" s="50"/>
      <c r="D1804" s="51"/>
      <c r="E1804" s="48"/>
      <c r="F1804" s="48"/>
      <c r="G1804" s="48"/>
      <c r="H1804" s="48"/>
      <c r="I1804" s="48"/>
      <c r="J1804" s="48"/>
      <c r="K1804" s="48"/>
      <c r="L1804" s="48"/>
      <c r="M1804" s="48"/>
      <c r="N1804" s="48"/>
      <c r="O1804" s="48"/>
      <c r="P1804" s="48"/>
    </row>
    <row r="1805" spans="1:16">
      <c r="A1805" s="49"/>
      <c r="B1805" s="49"/>
      <c r="C1805" s="50"/>
      <c r="D1805" s="52"/>
      <c r="E1805" s="53"/>
      <c r="F1805" s="53"/>
      <c r="G1805" s="54"/>
      <c r="H1805" s="53"/>
      <c r="I1805" s="53"/>
      <c r="J1805" s="54"/>
      <c r="K1805" s="53"/>
      <c r="L1805" s="53"/>
      <c r="M1805" s="54"/>
      <c r="N1805" s="53"/>
      <c r="O1805" s="53"/>
      <c r="P1805" s="54"/>
    </row>
    <row r="1806" spans="1:16" ht="15">
      <c r="A1806" s="49"/>
      <c r="B1806" s="49"/>
      <c r="C1806" s="50"/>
      <c r="D1806" s="51"/>
      <c r="E1806" s="48"/>
      <c r="F1806" s="48"/>
      <c r="G1806" s="48"/>
      <c r="H1806" s="48"/>
      <c r="I1806" s="48"/>
      <c r="J1806" s="48"/>
      <c r="K1806" s="48"/>
      <c r="L1806" s="48"/>
      <c r="M1806" s="48"/>
      <c r="N1806" s="48"/>
      <c r="O1806" s="48"/>
      <c r="P1806" s="48"/>
    </row>
    <row r="1807" spans="1:16">
      <c r="A1807" s="49"/>
      <c r="B1807" s="49"/>
      <c r="C1807" s="50"/>
      <c r="D1807" s="52"/>
      <c r="E1807" s="53"/>
      <c r="F1807" s="53"/>
      <c r="G1807" s="54"/>
      <c r="H1807" s="53"/>
      <c r="I1807" s="53"/>
      <c r="J1807" s="54"/>
      <c r="K1807" s="53"/>
      <c r="L1807" s="53"/>
      <c r="M1807" s="54"/>
      <c r="N1807" s="53"/>
      <c r="O1807" s="53"/>
      <c r="P1807" s="54"/>
    </row>
    <row r="1808" spans="1:16" ht="15">
      <c r="A1808" s="49"/>
      <c r="B1808" s="49"/>
      <c r="C1808" s="50"/>
      <c r="D1808" s="51"/>
      <c r="E1808" s="48"/>
      <c r="F1808" s="48"/>
      <c r="G1808" s="48"/>
      <c r="H1808" s="48"/>
      <c r="I1808" s="48"/>
      <c r="J1808" s="48"/>
      <c r="K1808" s="48"/>
      <c r="L1808" s="48"/>
      <c r="M1808" s="48"/>
      <c r="N1808" s="48"/>
      <c r="O1808" s="48"/>
      <c r="P1808" s="48"/>
    </row>
    <row r="1809" spans="1:16">
      <c r="A1809" s="49"/>
      <c r="B1809" s="49"/>
      <c r="C1809" s="50"/>
      <c r="D1809" s="52"/>
      <c r="E1809" s="53"/>
      <c r="F1809" s="53"/>
      <c r="G1809" s="54"/>
      <c r="H1809" s="53"/>
      <c r="I1809" s="53"/>
      <c r="J1809" s="54"/>
      <c r="K1809" s="53"/>
      <c r="L1809" s="53"/>
      <c r="M1809" s="54"/>
      <c r="N1809" s="53"/>
      <c r="O1809" s="53"/>
      <c r="P1809" s="54"/>
    </row>
    <row r="1810" spans="1:16" ht="15">
      <c r="A1810" s="49"/>
      <c r="B1810" s="49"/>
      <c r="C1810" s="50"/>
      <c r="D1810" s="51"/>
      <c r="E1810" s="48"/>
      <c r="F1810" s="48"/>
      <c r="G1810" s="48"/>
      <c r="H1810" s="48"/>
      <c r="I1810" s="48"/>
      <c r="J1810" s="48"/>
      <c r="K1810" s="48"/>
      <c r="L1810" s="48"/>
      <c r="M1810" s="48"/>
      <c r="N1810" s="48"/>
      <c r="O1810" s="48"/>
      <c r="P1810" s="48"/>
    </row>
    <row r="1811" spans="1:16">
      <c r="A1811" s="49"/>
      <c r="B1811" s="49"/>
      <c r="C1811" s="50"/>
      <c r="D1811" s="52"/>
      <c r="E1811" s="53"/>
      <c r="F1811" s="53"/>
      <c r="G1811" s="54"/>
      <c r="H1811" s="53"/>
      <c r="I1811" s="53"/>
      <c r="J1811" s="54"/>
      <c r="K1811" s="53"/>
      <c r="L1811" s="53"/>
      <c r="M1811" s="54"/>
      <c r="N1811" s="53"/>
      <c r="O1811" s="53"/>
      <c r="P1811" s="54"/>
    </row>
    <row r="1812" spans="1:16" ht="15">
      <c r="A1812" s="49"/>
      <c r="B1812" s="49"/>
      <c r="C1812" s="50"/>
      <c r="D1812" s="51"/>
      <c r="E1812" s="48"/>
      <c r="F1812" s="48"/>
      <c r="G1812" s="48"/>
      <c r="H1812" s="48"/>
      <c r="I1812" s="48"/>
      <c r="J1812" s="48"/>
      <c r="K1812" s="48"/>
      <c r="L1812" s="48"/>
      <c r="M1812" s="48"/>
      <c r="N1812" s="48"/>
      <c r="O1812" s="48"/>
      <c r="P1812" s="48"/>
    </row>
    <row r="1813" spans="1:16">
      <c r="A1813" s="49"/>
      <c r="B1813" s="49"/>
      <c r="C1813" s="50"/>
      <c r="D1813" s="52"/>
      <c r="E1813" s="53"/>
      <c r="F1813" s="53"/>
      <c r="G1813" s="54"/>
      <c r="H1813" s="53"/>
      <c r="I1813" s="53"/>
      <c r="J1813" s="54"/>
      <c r="K1813" s="53"/>
      <c r="L1813" s="53"/>
      <c r="M1813" s="54"/>
      <c r="N1813" s="53"/>
      <c r="O1813" s="53"/>
      <c r="P1813" s="54"/>
    </row>
    <row r="1814" spans="1:16" ht="15">
      <c r="A1814" s="49"/>
      <c r="B1814" s="49"/>
      <c r="C1814" s="50"/>
      <c r="D1814" s="51"/>
      <c r="E1814" s="48"/>
      <c r="F1814" s="48"/>
      <c r="G1814" s="48"/>
      <c r="H1814" s="48"/>
      <c r="I1814" s="48"/>
      <c r="J1814" s="48"/>
      <c r="K1814" s="48"/>
      <c r="L1814" s="48"/>
      <c r="M1814" s="48"/>
      <c r="N1814" s="48"/>
      <c r="O1814" s="48"/>
      <c r="P1814" s="48"/>
    </row>
    <row r="1815" spans="1:16">
      <c r="A1815" s="49"/>
      <c r="B1815" s="49"/>
      <c r="C1815" s="50"/>
      <c r="D1815" s="52"/>
      <c r="E1815" s="53"/>
      <c r="F1815" s="53"/>
      <c r="G1815" s="54"/>
      <c r="H1815" s="53"/>
      <c r="I1815" s="53"/>
      <c r="J1815" s="54"/>
      <c r="K1815" s="53"/>
      <c r="L1815" s="53"/>
      <c r="M1815" s="54"/>
      <c r="N1815" s="53"/>
      <c r="O1815" s="53"/>
      <c r="P1815" s="54"/>
    </row>
    <row r="1816" spans="1:16" ht="15">
      <c r="A1816" s="49"/>
      <c r="B1816" s="49"/>
      <c r="C1816" s="50"/>
      <c r="D1816" s="51"/>
      <c r="E1816" s="48"/>
      <c r="F1816" s="48"/>
      <c r="G1816" s="48"/>
      <c r="H1816" s="48"/>
      <c r="I1816" s="48"/>
      <c r="J1816" s="48"/>
      <c r="K1816" s="48"/>
      <c r="L1816" s="48"/>
      <c r="M1816" s="48"/>
      <c r="N1816" s="48"/>
      <c r="O1816" s="48"/>
      <c r="P1816" s="48"/>
    </row>
    <row r="1817" spans="1:16">
      <c r="A1817" s="49"/>
      <c r="B1817" s="49"/>
      <c r="C1817" s="50"/>
      <c r="D1817" s="52"/>
      <c r="E1817" s="53"/>
      <c r="F1817" s="53"/>
      <c r="G1817" s="54"/>
      <c r="H1817" s="53"/>
      <c r="I1817" s="53"/>
      <c r="J1817" s="54"/>
      <c r="K1817" s="53"/>
      <c r="L1817" s="53"/>
      <c r="M1817" s="54"/>
      <c r="N1817" s="53"/>
      <c r="O1817" s="53"/>
      <c r="P1817" s="54"/>
    </row>
    <row r="1818" spans="1:16" ht="15">
      <c r="A1818" s="49"/>
      <c r="B1818" s="49"/>
      <c r="C1818" s="50"/>
      <c r="D1818" s="51"/>
      <c r="E1818" s="48"/>
      <c r="F1818" s="48"/>
      <c r="G1818" s="48"/>
      <c r="H1818" s="48"/>
      <c r="I1818" s="48"/>
      <c r="J1818" s="48"/>
      <c r="K1818" s="48"/>
      <c r="L1818" s="48"/>
      <c r="M1818" s="48"/>
      <c r="N1818" s="48"/>
      <c r="O1818" s="48"/>
      <c r="P1818" s="48"/>
    </row>
    <row r="1819" spans="1:16">
      <c r="A1819" s="49"/>
      <c r="B1819" s="49"/>
      <c r="C1819" s="50"/>
      <c r="D1819" s="52"/>
      <c r="E1819" s="53"/>
      <c r="F1819" s="53"/>
      <c r="G1819" s="54"/>
      <c r="H1819" s="53"/>
      <c r="I1819" s="53"/>
      <c r="J1819" s="54"/>
      <c r="K1819" s="53"/>
      <c r="L1819" s="53"/>
      <c r="M1819" s="54"/>
      <c r="N1819" s="53"/>
      <c r="O1819" s="53"/>
      <c r="P1819" s="54"/>
    </row>
    <row r="1820" spans="1:16" ht="15">
      <c r="A1820" s="49"/>
      <c r="B1820" s="49"/>
      <c r="C1820" s="50"/>
      <c r="D1820" s="51"/>
      <c r="E1820" s="48"/>
      <c r="F1820" s="48"/>
      <c r="G1820" s="48"/>
      <c r="H1820" s="48"/>
      <c r="I1820" s="48"/>
      <c r="J1820" s="48"/>
      <c r="K1820" s="48"/>
      <c r="L1820" s="48"/>
      <c r="M1820" s="48"/>
      <c r="N1820" s="48"/>
      <c r="O1820" s="48"/>
      <c r="P1820" s="48"/>
    </row>
    <row r="1821" spans="1:16">
      <c r="A1821" s="49"/>
      <c r="B1821" s="49"/>
      <c r="C1821" s="50"/>
      <c r="D1821" s="52"/>
      <c r="E1821" s="53"/>
      <c r="F1821" s="53"/>
      <c r="G1821" s="54"/>
      <c r="H1821" s="53"/>
      <c r="I1821" s="53"/>
      <c r="J1821" s="54"/>
      <c r="K1821" s="53"/>
      <c r="L1821" s="53"/>
      <c r="M1821" s="54"/>
      <c r="N1821" s="53"/>
      <c r="O1821" s="53"/>
      <c r="P1821" s="54"/>
    </row>
    <row r="1822" spans="1:16" ht="15">
      <c r="A1822" s="49"/>
      <c r="B1822" s="49"/>
      <c r="C1822" s="50"/>
      <c r="D1822" s="51"/>
      <c r="E1822" s="48"/>
      <c r="F1822" s="48"/>
      <c r="G1822" s="48"/>
      <c r="H1822" s="48"/>
      <c r="I1822" s="48"/>
      <c r="J1822" s="48"/>
      <c r="K1822" s="48"/>
      <c r="L1822" s="48"/>
      <c r="M1822" s="48"/>
      <c r="N1822" s="48"/>
      <c r="O1822" s="48"/>
      <c r="P1822" s="48"/>
    </row>
    <row r="1823" spans="1:16">
      <c r="A1823" s="49"/>
      <c r="B1823" s="49"/>
      <c r="C1823" s="50"/>
      <c r="D1823" s="52"/>
      <c r="E1823" s="53"/>
      <c r="F1823" s="53"/>
      <c r="G1823" s="54"/>
      <c r="H1823" s="53"/>
      <c r="I1823" s="53"/>
      <c r="J1823" s="54"/>
      <c r="K1823" s="53"/>
      <c r="L1823" s="53"/>
      <c r="M1823" s="54"/>
      <c r="N1823" s="53"/>
      <c r="O1823" s="53"/>
      <c r="P1823" s="54"/>
    </row>
    <row r="1824" spans="1:16" ht="15">
      <c r="A1824" s="49"/>
      <c r="B1824" s="49"/>
      <c r="C1824" s="50"/>
      <c r="D1824" s="51"/>
      <c r="E1824" s="48"/>
      <c r="F1824" s="48"/>
      <c r="G1824" s="48"/>
      <c r="H1824" s="48"/>
      <c r="I1824" s="48"/>
      <c r="J1824" s="48"/>
      <c r="K1824" s="48"/>
      <c r="L1824" s="48"/>
      <c r="M1824" s="48"/>
      <c r="N1824" s="48"/>
      <c r="O1824" s="48"/>
      <c r="P1824" s="48"/>
    </row>
    <row r="1825" spans="1:16">
      <c r="A1825" s="49"/>
      <c r="B1825" s="49"/>
      <c r="C1825" s="50"/>
      <c r="D1825" s="52"/>
      <c r="E1825" s="53"/>
      <c r="F1825" s="53"/>
      <c r="G1825" s="54"/>
      <c r="H1825" s="53"/>
      <c r="I1825" s="53"/>
      <c r="J1825" s="54"/>
      <c r="K1825" s="53"/>
      <c r="L1825" s="53"/>
      <c r="M1825" s="54"/>
      <c r="N1825" s="53"/>
      <c r="O1825" s="53"/>
      <c r="P1825" s="54"/>
    </row>
    <row r="1826" spans="1:16" ht="15">
      <c r="A1826" s="49"/>
      <c r="B1826" s="49"/>
      <c r="C1826" s="50"/>
      <c r="D1826" s="51"/>
      <c r="E1826" s="48"/>
      <c r="F1826" s="48"/>
      <c r="G1826" s="48"/>
      <c r="H1826" s="48"/>
      <c r="I1826" s="48"/>
      <c r="J1826" s="48"/>
      <c r="K1826" s="48"/>
      <c r="L1826" s="48"/>
      <c r="M1826" s="48"/>
      <c r="N1826" s="48"/>
      <c r="O1826" s="48"/>
      <c r="P1826" s="48"/>
    </row>
    <row r="1827" spans="1:16">
      <c r="A1827" s="49"/>
      <c r="B1827" s="49"/>
      <c r="C1827" s="50"/>
      <c r="D1827" s="52"/>
      <c r="E1827" s="53"/>
      <c r="F1827" s="53"/>
      <c r="G1827" s="54"/>
      <c r="H1827" s="53"/>
      <c r="I1827" s="53"/>
      <c r="J1827" s="54"/>
      <c r="K1827" s="53"/>
      <c r="L1827" s="53"/>
      <c r="M1827" s="54"/>
      <c r="N1827" s="53"/>
      <c r="O1827" s="53"/>
      <c r="P1827" s="54"/>
    </row>
    <row r="1828" spans="1:16" ht="15">
      <c r="A1828" s="49"/>
      <c r="B1828" s="49"/>
      <c r="C1828" s="50"/>
      <c r="D1828" s="51"/>
      <c r="E1828" s="48"/>
      <c r="F1828" s="48"/>
      <c r="G1828" s="48"/>
      <c r="H1828" s="48"/>
      <c r="I1828" s="48"/>
      <c r="J1828" s="48"/>
      <c r="K1828" s="48"/>
      <c r="L1828" s="48"/>
      <c r="M1828" s="48"/>
      <c r="N1828" s="48"/>
      <c r="O1828" s="48"/>
      <c r="P1828" s="48"/>
    </row>
    <row r="1829" spans="1:16">
      <c r="A1829" s="49"/>
      <c r="B1829" s="49"/>
      <c r="C1829" s="50"/>
      <c r="D1829" s="52"/>
      <c r="E1829" s="53"/>
      <c r="F1829" s="53"/>
      <c r="G1829" s="54"/>
      <c r="H1829" s="53"/>
      <c r="I1829" s="53"/>
      <c r="J1829" s="54"/>
      <c r="K1829" s="53"/>
      <c r="L1829" s="53"/>
      <c r="M1829" s="54"/>
      <c r="N1829" s="53"/>
      <c r="O1829" s="53"/>
      <c r="P1829" s="54"/>
    </row>
    <row r="1830" spans="1:16" ht="15">
      <c r="A1830" s="49"/>
      <c r="B1830" s="49"/>
      <c r="C1830" s="50"/>
      <c r="D1830" s="51"/>
      <c r="E1830" s="48"/>
      <c r="F1830" s="48"/>
      <c r="G1830" s="48"/>
      <c r="H1830" s="48"/>
      <c r="I1830" s="48"/>
      <c r="J1830" s="48"/>
      <c r="K1830" s="48"/>
      <c r="L1830" s="48"/>
      <c r="M1830" s="48"/>
      <c r="N1830" s="48"/>
      <c r="O1830" s="48"/>
      <c r="P1830" s="48"/>
    </row>
    <row r="1831" spans="1:16">
      <c r="A1831" s="49"/>
      <c r="B1831" s="49"/>
      <c r="C1831" s="50"/>
      <c r="D1831" s="52"/>
      <c r="E1831" s="53"/>
      <c r="F1831" s="53"/>
      <c r="G1831" s="54"/>
      <c r="H1831" s="53"/>
      <c r="I1831" s="53"/>
      <c r="J1831" s="54"/>
      <c r="K1831" s="53"/>
      <c r="L1831" s="53"/>
      <c r="M1831" s="54"/>
      <c r="N1831" s="53"/>
      <c r="O1831" s="53"/>
      <c r="P1831" s="54"/>
    </row>
    <row r="1832" spans="1:16" ht="15">
      <c r="A1832" s="49"/>
      <c r="B1832" s="49"/>
      <c r="C1832" s="50"/>
      <c r="D1832" s="51"/>
      <c r="E1832" s="48"/>
      <c r="F1832" s="48"/>
      <c r="G1832" s="48"/>
      <c r="H1832" s="48"/>
      <c r="I1832" s="48"/>
      <c r="J1832" s="48"/>
      <c r="K1832" s="48"/>
      <c r="L1832" s="48"/>
      <c r="M1832" s="48"/>
      <c r="N1832" s="48"/>
      <c r="O1832" s="48"/>
      <c r="P1832" s="48"/>
    </row>
    <row r="1833" spans="1:16">
      <c r="A1833" s="49"/>
      <c r="B1833" s="49"/>
      <c r="C1833" s="50"/>
      <c r="D1833" s="52"/>
      <c r="E1833" s="53"/>
      <c r="F1833" s="53"/>
      <c r="G1833" s="54"/>
      <c r="H1833" s="53"/>
      <c r="I1833" s="53"/>
      <c r="J1833" s="54"/>
      <c r="K1833" s="53"/>
      <c r="L1833" s="53"/>
      <c r="M1833" s="54"/>
      <c r="N1833" s="53"/>
      <c r="O1833" s="53"/>
      <c r="P1833" s="54"/>
    </row>
    <row r="1834" spans="1:16" ht="15">
      <c r="A1834" s="49"/>
      <c r="B1834" s="49"/>
      <c r="C1834" s="50"/>
      <c r="D1834" s="51"/>
      <c r="E1834" s="48"/>
      <c r="F1834" s="48"/>
      <c r="G1834" s="48"/>
      <c r="H1834" s="48"/>
      <c r="I1834" s="48"/>
      <c r="J1834" s="48"/>
      <c r="K1834" s="48"/>
      <c r="L1834" s="48"/>
      <c r="M1834" s="48"/>
      <c r="N1834" s="48"/>
      <c r="O1834" s="48"/>
      <c r="P1834" s="48"/>
    </row>
    <row r="1835" spans="1:16">
      <c r="A1835" s="49"/>
      <c r="B1835" s="49"/>
      <c r="C1835" s="50"/>
      <c r="D1835" s="52"/>
      <c r="E1835" s="53"/>
      <c r="F1835" s="53"/>
      <c r="G1835" s="54"/>
      <c r="H1835" s="53"/>
      <c r="I1835" s="53"/>
      <c r="J1835" s="54"/>
      <c r="K1835" s="53"/>
      <c r="L1835" s="53"/>
      <c r="M1835" s="54"/>
      <c r="N1835" s="53"/>
      <c r="O1835" s="53"/>
      <c r="P1835" s="54"/>
    </row>
    <row r="1836" spans="1:16" ht="15">
      <c r="A1836" s="49"/>
      <c r="B1836" s="49"/>
      <c r="C1836" s="50"/>
      <c r="D1836" s="51"/>
      <c r="E1836" s="48"/>
      <c r="F1836" s="48"/>
      <c r="G1836" s="48"/>
      <c r="H1836" s="48"/>
      <c r="I1836" s="48"/>
      <c r="J1836" s="48"/>
      <c r="K1836" s="48"/>
      <c r="L1836" s="48"/>
      <c r="M1836" s="48"/>
      <c r="N1836" s="48"/>
      <c r="O1836" s="48"/>
      <c r="P1836" s="48"/>
    </row>
    <row r="1837" spans="1:16">
      <c r="A1837" s="49"/>
      <c r="B1837" s="49"/>
      <c r="C1837" s="50"/>
      <c r="D1837" s="52"/>
      <c r="E1837" s="53"/>
      <c r="F1837" s="53"/>
      <c r="G1837" s="54"/>
      <c r="H1837" s="53"/>
      <c r="I1837" s="53"/>
      <c r="J1837" s="54"/>
      <c r="K1837" s="53"/>
      <c r="L1837" s="53"/>
      <c r="M1837" s="54"/>
      <c r="N1837" s="53"/>
      <c r="O1837" s="53"/>
      <c r="P1837" s="54"/>
    </row>
    <row r="1838" spans="1:16" ht="15">
      <c r="A1838" s="49"/>
      <c r="B1838" s="49"/>
      <c r="C1838" s="50"/>
      <c r="D1838" s="51"/>
      <c r="E1838" s="48"/>
      <c r="F1838" s="48"/>
      <c r="G1838" s="48"/>
      <c r="H1838" s="48"/>
      <c r="I1838" s="48"/>
      <c r="J1838" s="48"/>
      <c r="K1838" s="48"/>
      <c r="L1838" s="48"/>
      <c r="M1838" s="48"/>
      <c r="N1838" s="48"/>
      <c r="O1838" s="48"/>
      <c r="P1838" s="48"/>
    </row>
    <row r="1839" spans="1:16">
      <c r="A1839" s="49"/>
      <c r="B1839" s="49"/>
      <c r="C1839" s="50"/>
      <c r="D1839" s="52"/>
      <c r="E1839" s="53"/>
      <c r="F1839" s="53"/>
      <c r="G1839" s="54"/>
      <c r="H1839" s="53"/>
      <c r="I1839" s="53"/>
      <c r="J1839" s="54"/>
      <c r="K1839" s="53"/>
      <c r="L1839" s="53"/>
      <c r="M1839" s="54"/>
      <c r="N1839" s="53"/>
      <c r="O1839" s="53"/>
      <c r="P1839" s="54"/>
    </row>
    <row r="1840" spans="1:16" ht="15">
      <c r="A1840" s="49"/>
      <c r="B1840" s="49"/>
      <c r="C1840" s="50"/>
      <c r="D1840" s="51"/>
      <c r="E1840" s="48"/>
      <c r="F1840" s="48"/>
      <c r="G1840" s="48"/>
      <c r="H1840" s="48"/>
      <c r="I1840" s="48"/>
      <c r="J1840" s="48"/>
      <c r="K1840" s="48"/>
      <c r="L1840" s="48"/>
      <c r="M1840" s="48"/>
      <c r="N1840" s="48"/>
      <c r="O1840" s="48"/>
      <c r="P1840" s="48"/>
    </row>
    <row r="1841" spans="1:16">
      <c r="A1841" s="49"/>
      <c r="B1841" s="49"/>
      <c r="C1841" s="50"/>
      <c r="D1841" s="52"/>
      <c r="E1841" s="53"/>
      <c r="F1841" s="53"/>
      <c r="G1841" s="54"/>
      <c r="H1841" s="53"/>
      <c r="I1841" s="53"/>
      <c r="J1841" s="54"/>
      <c r="K1841" s="53"/>
      <c r="L1841" s="53"/>
      <c r="M1841" s="54"/>
      <c r="N1841" s="53"/>
      <c r="O1841" s="53"/>
      <c r="P1841" s="54"/>
    </row>
    <row r="1842" spans="1:16" ht="15">
      <c r="A1842" s="49"/>
      <c r="B1842" s="49"/>
      <c r="C1842" s="50"/>
      <c r="D1842" s="51"/>
      <c r="E1842" s="48"/>
      <c r="F1842" s="48"/>
      <c r="G1842" s="48"/>
      <c r="H1842" s="48"/>
      <c r="I1842" s="48"/>
      <c r="J1842" s="48"/>
      <c r="K1842" s="48"/>
      <c r="L1842" s="48"/>
      <c r="M1842" s="48"/>
      <c r="N1842" s="48"/>
      <c r="O1842" s="48"/>
      <c r="P1842" s="48"/>
    </row>
    <row r="1843" spans="1:16">
      <c r="A1843" s="49"/>
      <c r="B1843" s="49"/>
      <c r="C1843" s="50"/>
      <c r="D1843" s="52"/>
      <c r="E1843" s="53"/>
      <c r="F1843" s="53"/>
      <c r="G1843" s="54"/>
      <c r="H1843" s="53"/>
      <c r="I1843" s="53"/>
      <c r="J1843" s="54"/>
      <c r="K1843" s="53"/>
      <c r="L1843" s="53"/>
      <c r="M1843" s="54"/>
      <c r="N1843" s="53"/>
      <c r="O1843" s="53"/>
      <c r="P1843" s="54"/>
    </row>
    <row r="1844" spans="1:16" ht="15">
      <c r="A1844" s="49"/>
      <c r="B1844" s="49"/>
      <c r="C1844" s="50"/>
      <c r="D1844" s="51"/>
      <c r="E1844" s="48"/>
      <c r="F1844" s="48"/>
      <c r="G1844" s="48"/>
      <c r="H1844" s="48"/>
      <c r="I1844" s="48"/>
      <c r="J1844" s="48"/>
      <c r="K1844" s="48"/>
      <c r="L1844" s="48"/>
      <c r="M1844" s="48"/>
      <c r="N1844" s="48"/>
      <c r="O1844" s="48"/>
      <c r="P1844" s="48"/>
    </row>
    <row r="1845" spans="1:16">
      <c r="A1845" s="49"/>
      <c r="B1845" s="49"/>
      <c r="C1845" s="50"/>
      <c r="D1845" s="52"/>
      <c r="E1845" s="53"/>
      <c r="F1845" s="53"/>
      <c r="G1845" s="54"/>
      <c r="H1845" s="53"/>
      <c r="I1845" s="53"/>
      <c r="J1845" s="54"/>
      <c r="K1845" s="53"/>
      <c r="L1845" s="53"/>
      <c r="M1845" s="54"/>
      <c r="N1845" s="53"/>
      <c r="O1845" s="53"/>
      <c r="P1845" s="54"/>
    </row>
    <row r="1846" spans="1:16" ht="15">
      <c r="A1846" s="49"/>
      <c r="B1846" s="49"/>
      <c r="C1846" s="50"/>
      <c r="D1846" s="51"/>
      <c r="E1846" s="48"/>
      <c r="F1846" s="48"/>
      <c r="G1846" s="48"/>
      <c r="H1846" s="48"/>
      <c r="I1846" s="48"/>
      <c r="J1846" s="48"/>
      <c r="K1846" s="48"/>
      <c r="L1846" s="48"/>
      <c r="M1846" s="48"/>
      <c r="N1846" s="48"/>
      <c r="O1846" s="48"/>
      <c r="P1846" s="48"/>
    </row>
    <row r="1847" spans="1:16">
      <c r="A1847" s="49"/>
      <c r="B1847" s="49"/>
      <c r="C1847" s="50"/>
      <c r="D1847" s="52"/>
      <c r="E1847" s="53"/>
      <c r="F1847" s="53"/>
      <c r="G1847" s="54"/>
      <c r="H1847" s="53"/>
      <c r="I1847" s="53"/>
      <c r="J1847" s="54"/>
      <c r="K1847" s="53"/>
      <c r="L1847" s="53"/>
      <c r="M1847" s="54"/>
      <c r="N1847" s="53"/>
      <c r="O1847" s="53"/>
      <c r="P1847" s="54"/>
    </row>
    <row r="1848" spans="1:16" ht="15">
      <c r="A1848" s="49"/>
      <c r="B1848" s="49"/>
      <c r="C1848" s="50"/>
      <c r="D1848" s="51"/>
      <c r="E1848" s="48"/>
      <c r="F1848" s="48"/>
      <c r="G1848" s="48"/>
      <c r="H1848" s="48"/>
      <c r="I1848" s="48"/>
      <c r="J1848" s="48"/>
      <c r="K1848" s="48"/>
      <c r="L1848" s="48"/>
      <c r="M1848" s="48"/>
      <c r="N1848" s="48"/>
      <c r="O1848" s="48"/>
      <c r="P1848" s="48"/>
    </row>
    <row r="1849" spans="1:16">
      <c r="A1849" s="49"/>
      <c r="B1849" s="49"/>
      <c r="C1849" s="50"/>
      <c r="D1849" s="52"/>
      <c r="E1849" s="53"/>
      <c r="F1849" s="53"/>
      <c r="G1849" s="54"/>
      <c r="H1849" s="53"/>
      <c r="I1849" s="53"/>
      <c r="J1849" s="54"/>
      <c r="K1849" s="53"/>
      <c r="L1849" s="53"/>
      <c r="M1849" s="54"/>
      <c r="N1849" s="53"/>
      <c r="O1849" s="53"/>
      <c r="P1849" s="54"/>
    </row>
    <row r="1850" spans="1:16" ht="15">
      <c r="A1850" s="49"/>
      <c r="B1850" s="49"/>
      <c r="C1850" s="50"/>
      <c r="D1850" s="51"/>
      <c r="E1850" s="48"/>
      <c r="F1850" s="48"/>
      <c r="G1850" s="48"/>
      <c r="H1850" s="48"/>
      <c r="I1850" s="48"/>
      <c r="J1850" s="48"/>
      <c r="K1850" s="48"/>
      <c r="L1850" s="48"/>
      <c r="M1850" s="48"/>
      <c r="N1850" s="48"/>
      <c r="O1850" s="48"/>
      <c r="P1850" s="48"/>
    </row>
    <row r="1851" spans="1:16">
      <c r="A1851" s="49"/>
      <c r="B1851" s="49"/>
      <c r="C1851" s="50"/>
      <c r="D1851" s="52"/>
      <c r="E1851" s="53"/>
      <c r="F1851" s="53"/>
      <c r="G1851" s="54"/>
      <c r="H1851" s="53"/>
      <c r="I1851" s="53"/>
      <c r="J1851" s="54"/>
      <c r="K1851" s="53"/>
      <c r="L1851" s="53"/>
      <c r="M1851" s="54"/>
      <c r="N1851" s="53"/>
      <c r="O1851" s="53"/>
      <c r="P1851" s="54"/>
    </row>
    <row r="1852" spans="1:16" ht="15">
      <c r="A1852" s="49"/>
      <c r="B1852" s="49"/>
      <c r="C1852" s="50"/>
      <c r="D1852" s="51"/>
      <c r="E1852" s="48"/>
      <c r="F1852" s="48"/>
      <c r="G1852" s="48"/>
      <c r="H1852" s="48"/>
      <c r="I1852" s="48"/>
      <c r="J1852" s="48"/>
      <c r="K1852" s="48"/>
      <c r="L1852" s="48"/>
      <c r="M1852" s="48"/>
      <c r="N1852" s="48"/>
      <c r="O1852" s="48"/>
      <c r="P1852" s="48"/>
    </row>
    <row r="1853" spans="1:16">
      <c r="A1853" s="49"/>
      <c r="B1853" s="49"/>
      <c r="C1853" s="50"/>
      <c r="D1853" s="52"/>
      <c r="E1853" s="53"/>
      <c r="F1853" s="53"/>
      <c r="G1853" s="54"/>
      <c r="H1853" s="53"/>
      <c r="I1853" s="53"/>
      <c r="J1853" s="54"/>
      <c r="K1853" s="53"/>
      <c r="L1853" s="53"/>
      <c r="M1853" s="54"/>
      <c r="N1853" s="53"/>
      <c r="O1853" s="53"/>
      <c r="P1853" s="54"/>
    </row>
    <row r="1854" spans="1:16" ht="15">
      <c r="A1854" s="49"/>
      <c r="B1854" s="49"/>
      <c r="C1854" s="50"/>
      <c r="D1854" s="51"/>
      <c r="E1854" s="48"/>
      <c r="F1854" s="48"/>
      <c r="G1854" s="48"/>
      <c r="H1854" s="48"/>
      <c r="I1854" s="48"/>
      <c r="J1854" s="48"/>
      <c r="K1854" s="48"/>
      <c r="L1854" s="48"/>
      <c r="M1854" s="48"/>
      <c r="N1854" s="48"/>
      <c r="O1854" s="48"/>
      <c r="P1854" s="48"/>
    </row>
    <row r="1855" spans="1:16">
      <c r="A1855" s="49"/>
      <c r="B1855" s="49"/>
      <c r="C1855" s="50"/>
      <c r="D1855" s="52"/>
      <c r="E1855" s="53"/>
      <c r="F1855" s="53"/>
      <c r="G1855" s="54"/>
      <c r="H1855" s="53"/>
      <c r="I1855" s="53"/>
      <c r="J1855" s="54"/>
      <c r="K1855" s="53"/>
      <c r="L1855" s="53"/>
      <c r="M1855" s="54"/>
      <c r="N1855" s="53"/>
      <c r="O1855" s="53"/>
      <c r="P1855" s="54"/>
    </row>
    <row r="1856" spans="1:16" ht="15">
      <c r="A1856" s="49"/>
      <c r="B1856" s="49"/>
      <c r="C1856" s="50"/>
      <c r="D1856" s="51"/>
      <c r="E1856" s="48"/>
      <c r="F1856" s="48"/>
      <c r="G1856" s="48"/>
      <c r="H1856" s="48"/>
      <c r="I1856" s="48"/>
      <c r="J1856" s="48"/>
      <c r="K1856" s="48"/>
      <c r="L1856" s="48"/>
      <c r="M1856" s="48"/>
      <c r="N1856" s="48"/>
      <c r="O1856" s="48"/>
      <c r="P1856" s="48"/>
    </row>
    <row r="1857" spans="1:16">
      <c r="A1857" s="49"/>
      <c r="B1857" s="49"/>
      <c r="C1857" s="50"/>
      <c r="D1857" s="52"/>
      <c r="E1857" s="53"/>
      <c r="F1857" s="53"/>
      <c r="G1857" s="54"/>
      <c r="H1857" s="53"/>
      <c r="I1857" s="53"/>
      <c r="J1857" s="54"/>
      <c r="K1857" s="53"/>
      <c r="L1857" s="53"/>
      <c r="M1857" s="54"/>
      <c r="N1857" s="53"/>
      <c r="O1857" s="53"/>
      <c r="P1857" s="54"/>
    </row>
    <row r="1858" spans="1:16" ht="15">
      <c r="A1858" s="49"/>
      <c r="B1858" s="49"/>
      <c r="C1858" s="50"/>
      <c r="D1858" s="51"/>
      <c r="E1858" s="48"/>
      <c r="F1858" s="48"/>
      <c r="G1858" s="48"/>
      <c r="H1858" s="48"/>
      <c r="I1858" s="48"/>
      <c r="J1858" s="48"/>
      <c r="K1858" s="48"/>
      <c r="L1858" s="48"/>
      <c r="M1858" s="48"/>
      <c r="N1858" s="48"/>
      <c r="O1858" s="48"/>
      <c r="P1858" s="48"/>
    </row>
    <row r="1859" spans="1:16">
      <c r="A1859" s="49"/>
      <c r="B1859" s="49"/>
      <c r="C1859" s="50"/>
      <c r="D1859" s="52"/>
      <c r="E1859" s="53"/>
      <c r="F1859" s="53"/>
      <c r="G1859" s="54"/>
      <c r="H1859" s="53"/>
      <c r="I1859" s="53"/>
      <c r="J1859" s="54"/>
      <c r="K1859" s="53"/>
      <c r="L1859" s="53"/>
      <c r="M1859" s="54"/>
      <c r="N1859" s="53"/>
      <c r="O1859" s="53"/>
      <c r="P1859" s="54"/>
    </row>
    <row r="1860" spans="1:16" ht="15">
      <c r="A1860" s="49"/>
      <c r="B1860" s="49"/>
      <c r="C1860" s="50"/>
      <c r="D1860" s="51"/>
      <c r="E1860" s="48"/>
      <c r="F1860" s="48"/>
      <c r="G1860" s="48"/>
      <c r="H1860" s="48"/>
      <c r="I1860" s="48"/>
      <c r="J1860" s="48"/>
      <c r="K1860" s="48"/>
      <c r="L1860" s="48"/>
      <c r="M1860" s="48"/>
      <c r="N1860" s="48"/>
      <c r="O1860" s="48"/>
      <c r="P1860" s="48"/>
    </row>
    <row r="1861" spans="1:16">
      <c r="A1861" s="49"/>
      <c r="B1861" s="49"/>
      <c r="C1861" s="50"/>
      <c r="D1861" s="52"/>
      <c r="E1861" s="53"/>
      <c r="F1861" s="53"/>
      <c r="G1861" s="54"/>
      <c r="H1861" s="53"/>
      <c r="I1861" s="53"/>
      <c r="J1861" s="54"/>
      <c r="K1861" s="53"/>
      <c r="L1861" s="53"/>
      <c r="M1861" s="54"/>
      <c r="N1861" s="53"/>
      <c r="O1861" s="53"/>
      <c r="P1861" s="54"/>
    </row>
    <row r="1862" spans="1:16" ht="15">
      <c r="A1862" s="49"/>
      <c r="B1862" s="49"/>
      <c r="C1862" s="50"/>
      <c r="D1862" s="51"/>
      <c r="E1862" s="48"/>
      <c r="F1862" s="48"/>
      <c r="G1862" s="48"/>
      <c r="H1862" s="48"/>
      <c r="I1862" s="48"/>
      <c r="J1862" s="48"/>
      <c r="K1862" s="48"/>
      <c r="L1862" s="48"/>
      <c r="M1862" s="48"/>
      <c r="N1862" s="48"/>
      <c r="O1862" s="48"/>
      <c r="P1862" s="48"/>
    </row>
    <row r="1863" spans="1:16">
      <c r="A1863" s="49"/>
      <c r="B1863" s="49"/>
      <c r="C1863" s="50"/>
      <c r="D1863" s="52"/>
      <c r="E1863" s="53"/>
      <c r="F1863" s="53"/>
      <c r="G1863" s="54"/>
      <c r="H1863" s="53"/>
      <c r="I1863" s="53"/>
      <c r="J1863" s="54"/>
      <c r="K1863" s="53"/>
      <c r="L1863" s="53"/>
      <c r="M1863" s="54"/>
      <c r="N1863" s="53"/>
      <c r="O1863" s="53"/>
      <c r="P1863" s="54"/>
    </row>
    <row r="1864" spans="1:16" ht="15">
      <c r="A1864" s="49"/>
      <c r="B1864" s="49"/>
      <c r="C1864" s="50"/>
      <c r="D1864" s="51"/>
      <c r="E1864" s="48"/>
      <c r="F1864" s="48"/>
      <c r="G1864" s="48"/>
      <c r="H1864" s="48"/>
      <c r="I1864" s="48"/>
      <c r="J1864" s="48"/>
      <c r="K1864" s="48"/>
      <c r="L1864" s="48"/>
      <c r="M1864" s="48"/>
      <c r="N1864" s="48"/>
      <c r="O1864" s="48"/>
      <c r="P1864" s="48"/>
    </row>
    <row r="1865" spans="1:16">
      <c r="A1865" s="49"/>
      <c r="B1865" s="49"/>
      <c r="C1865" s="50"/>
      <c r="D1865" s="52"/>
      <c r="E1865" s="53"/>
      <c r="F1865" s="53"/>
      <c r="G1865" s="54"/>
      <c r="H1865" s="53"/>
      <c r="I1865" s="53"/>
      <c r="J1865" s="54"/>
      <c r="K1865" s="53"/>
      <c r="L1865" s="53"/>
      <c r="M1865" s="54"/>
      <c r="N1865" s="53"/>
      <c r="O1865" s="53"/>
      <c r="P1865" s="54"/>
    </row>
    <row r="1866" spans="1:16" ht="15">
      <c r="A1866" s="49"/>
      <c r="B1866" s="49"/>
      <c r="C1866" s="50"/>
      <c r="D1866" s="51"/>
      <c r="E1866" s="48"/>
      <c r="F1866" s="48"/>
      <c r="G1866" s="48"/>
      <c r="H1866" s="48"/>
      <c r="I1866" s="48"/>
      <c r="J1866" s="48"/>
      <c r="K1866" s="48"/>
      <c r="L1866" s="48"/>
      <c r="M1866" s="48"/>
      <c r="N1866" s="48"/>
      <c r="O1866" s="48"/>
      <c r="P1866" s="48"/>
    </row>
    <row r="1867" spans="1:16">
      <c r="A1867" s="49"/>
      <c r="B1867" s="49"/>
      <c r="C1867" s="50"/>
      <c r="D1867" s="52"/>
      <c r="E1867" s="53"/>
      <c r="F1867" s="53"/>
      <c r="G1867" s="54"/>
      <c r="H1867" s="53"/>
      <c r="I1867" s="53"/>
      <c r="J1867" s="54"/>
      <c r="K1867" s="53"/>
      <c r="L1867" s="53"/>
      <c r="M1867" s="54"/>
      <c r="N1867" s="53"/>
      <c r="O1867" s="53"/>
      <c r="P1867" s="54"/>
    </row>
    <row r="1868" spans="1:16" ht="15">
      <c r="A1868" s="49"/>
      <c r="B1868" s="49"/>
      <c r="C1868" s="50"/>
      <c r="D1868" s="51"/>
      <c r="E1868" s="48"/>
      <c r="F1868" s="48"/>
      <c r="G1868" s="48"/>
      <c r="H1868" s="48"/>
      <c r="I1868" s="48"/>
      <c r="J1868" s="48"/>
      <c r="K1868" s="48"/>
      <c r="L1868" s="48"/>
      <c r="M1868" s="48"/>
      <c r="N1868" s="48"/>
      <c r="O1868" s="48"/>
      <c r="P1868" s="48"/>
    </row>
    <row r="1869" spans="1:16">
      <c r="A1869" s="49"/>
      <c r="B1869" s="49"/>
      <c r="C1869" s="50"/>
      <c r="D1869" s="52"/>
      <c r="E1869" s="53"/>
      <c r="F1869" s="53"/>
      <c r="G1869" s="54"/>
      <c r="H1869" s="53"/>
      <c r="I1869" s="53"/>
      <c r="J1869" s="54"/>
      <c r="K1869" s="53"/>
      <c r="L1869" s="53"/>
      <c r="M1869" s="54"/>
      <c r="N1869" s="53"/>
      <c r="O1869" s="53"/>
      <c r="P1869" s="54"/>
    </row>
    <row r="1870" spans="1:16" ht="15">
      <c r="A1870" s="49"/>
      <c r="B1870" s="49"/>
      <c r="C1870" s="50"/>
      <c r="D1870" s="51"/>
      <c r="E1870" s="48"/>
      <c r="F1870" s="48"/>
      <c r="G1870" s="48"/>
      <c r="H1870" s="48"/>
      <c r="I1870" s="48"/>
      <c r="J1870" s="48"/>
      <c r="K1870" s="48"/>
      <c r="L1870" s="48"/>
      <c r="M1870" s="48"/>
      <c r="N1870" s="48"/>
      <c r="O1870" s="48"/>
      <c r="P1870" s="48"/>
    </row>
    <row r="1871" spans="1:16">
      <c r="A1871" s="49"/>
      <c r="B1871" s="49"/>
      <c r="C1871" s="50"/>
      <c r="D1871" s="52"/>
      <c r="E1871" s="53"/>
      <c r="F1871" s="53"/>
      <c r="G1871" s="54"/>
      <c r="H1871" s="53"/>
      <c r="I1871" s="53"/>
      <c r="J1871" s="54"/>
      <c r="K1871" s="53"/>
      <c r="L1871" s="53"/>
      <c r="M1871" s="54"/>
      <c r="N1871" s="53"/>
      <c r="O1871" s="53"/>
      <c r="P1871" s="54"/>
    </row>
    <row r="1872" spans="1:16" ht="15">
      <c r="A1872" s="49"/>
      <c r="B1872" s="49"/>
      <c r="C1872" s="50"/>
      <c r="D1872" s="51"/>
      <c r="E1872" s="48"/>
      <c r="F1872" s="48"/>
      <c r="G1872" s="48"/>
      <c r="H1872" s="48"/>
      <c r="I1872" s="48"/>
      <c r="J1872" s="48"/>
      <c r="K1872" s="48"/>
      <c r="L1872" s="48"/>
      <c r="M1872" s="48"/>
      <c r="N1872" s="48"/>
      <c r="O1872" s="48"/>
      <c r="P1872" s="48"/>
    </row>
    <row r="1873" spans="1:16">
      <c r="A1873" s="49"/>
      <c r="B1873" s="49"/>
      <c r="C1873" s="50"/>
      <c r="D1873" s="52"/>
      <c r="E1873" s="53"/>
      <c r="F1873" s="53"/>
      <c r="G1873" s="54"/>
      <c r="H1873" s="53"/>
      <c r="I1873" s="53"/>
      <c r="J1873" s="54"/>
      <c r="K1873" s="53"/>
      <c r="L1873" s="53"/>
      <c r="M1873" s="54"/>
      <c r="N1873" s="53"/>
      <c r="O1873" s="53"/>
      <c r="P1873" s="54"/>
    </row>
    <row r="1874" spans="1:16" ht="15">
      <c r="A1874" s="49"/>
      <c r="B1874" s="49"/>
      <c r="C1874" s="50"/>
      <c r="D1874" s="51"/>
      <c r="E1874" s="48"/>
      <c r="F1874" s="48"/>
      <c r="G1874" s="48"/>
      <c r="H1874" s="48"/>
      <c r="I1874" s="48"/>
      <c r="J1874" s="48"/>
      <c r="K1874" s="48"/>
      <c r="L1874" s="48"/>
      <c r="M1874" s="48"/>
      <c r="N1874" s="48"/>
      <c r="O1874" s="48"/>
      <c r="P1874" s="48"/>
    </row>
    <row r="1875" spans="1:16">
      <c r="A1875" s="49"/>
      <c r="B1875" s="49"/>
      <c r="C1875" s="50"/>
      <c r="D1875" s="52"/>
      <c r="E1875" s="53"/>
      <c r="F1875" s="53"/>
      <c r="G1875" s="54"/>
      <c r="H1875" s="53"/>
      <c r="I1875" s="53"/>
      <c r="J1875" s="54"/>
      <c r="K1875" s="53"/>
      <c r="L1875" s="53"/>
      <c r="M1875" s="54"/>
      <c r="N1875" s="53"/>
      <c r="O1875" s="53"/>
      <c r="P1875" s="54"/>
    </row>
    <row r="1876" spans="1:16" ht="15">
      <c r="A1876" s="49"/>
      <c r="B1876" s="49"/>
      <c r="C1876" s="50"/>
      <c r="D1876" s="51"/>
      <c r="E1876" s="48"/>
      <c r="F1876" s="48"/>
      <c r="G1876" s="48"/>
      <c r="H1876" s="48"/>
      <c r="I1876" s="48"/>
      <c r="J1876" s="48"/>
      <c r="K1876" s="48"/>
      <c r="L1876" s="48"/>
      <c r="M1876" s="48"/>
      <c r="N1876" s="48"/>
      <c r="O1876" s="48"/>
      <c r="P1876" s="48"/>
    </row>
    <row r="1877" spans="1:16">
      <c r="A1877" s="49"/>
      <c r="B1877" s="49"/>
      <c r="C1877" s="50"/>
      <c r="D1877" s="52"/>
      <c r="E1877" s="53"/>
      <c r="F1877" s="53"/>
      <c r="G1877" s="54"/>
      <c r="H1877" s="53"/>
      <c r="I1877" s="53"/>
      <c r="J1877" s="54"/>
      <c r="K1877" s="53"/>
      <c r="L1877" s="53"/>
      <c r="M1877" s="54"/>
      <c r="N1877" s="53"/>
      <c r="O1877" s="53"/>
      <c r="P1877" s="54"/>
    </row>
    <row r="1878" spans="1:16" ht="15">
      <c r="A1878" s="49"/>
      <c r="B1878" s="49"/>
      <c r="C1878" s="50"/>
      <c r="D1878" s="51"/>
      <c r="E1878" s="48"/>
      <c r="F1878" s="48"/>
      <c r="G1878" s="48"/>
      <c r="H1878" s="48"/>
      <c r="I1878" s="48"/>
      <c r="J1878" s="48"/>
      <c r="K1878" s="48"/>
      <c r="L1878" s="48"/>
      <c r="M1878" s="48"/>
      <c r="N1878" s="48"/>
      <c r="O1878" s="48"/>
      <c r="P1878" s="48"/>
    </row>
    <row r="1879" spans="1:16">
      <c r="A1879" s="49"/>
      <c r="B1879" s="49"/>
      <c r="C1879" s="50"/>
      <c r="D1879" s="52"/>
      <c r="E1879" s="53"/>
      <c r="F1879" s="53"/>
      <c r="G1879" s="54"/>
      <c r="H1879" s="53"/>
      <c r="I1879" s="53"/>
      <c r="J1879" s="54"/>
      <c r="K1879" s="53"/>
      <c r="L1879" s="53"/>
      <c r="M1879" s="54"/>
      <c r="N1879" s="53"/>
      <c r="O1879" s="53"/>
      <c r="P1879" s="54"/>
    </row>
    <row r="1880" spans="1:16" ht="15">
      <c r="A1880" s="49"/>
      <c r="B1880" s="49"/>
      <c r="C1880" s="50"/>
      <c r="D1880" s="51"/>
      <c r="E1880" s="48"/>
      <c r="F1880" s="48"/>
      <c r="G1880" s="48"/>
      <c r="H1880" s="48"/>
      <c r="I1880" s="48"/>
      <c r="J1880" s="48"/>
      <c r="K1880" s="48"/>
      <c r="L1880" s="48"/>
      <c r="M1880" s="48"/>
      <c r="N1880" s="48"/>
      <c r="O1880" s="48"/>
      <c r="P1880" s="48"/>
    </row>
    <row r="1881" spans="1:16">
      <c r="A1881" s="49"/>
      <c r="B1881" s="49"/>
      <c r="C1881" s="50"/>
      <c r="D1881" s="52"/>
      <c r="E1881" s="53"/>
      <c r="F1881" s="53"/>
      <c r="G1881" s="54"/>
      <c r="H1881" s="53"/>
      <c r="I1881" s="53"/>
      <c r="J1881" s="54"/>
      <c r="K1881" s="53"/>
      <c r="L1881" s="53"/>
      <c r="M1881" s="54"/>
      <c r="N1881" s="53"/>
      <c r="O1881" s="53"/>
      <c r="P1881" s="54"/>
    </row>
    <row r="1882" spans="1:16" ht="15">
      <c r="A1882" s="49"/>
      <c r="B1882" s="49"/>
      <c r="C1882" s="50"/>
      <c r="D1882" s="51"/>
      <c r="E1882" s="48"/>
      <c r="F1882" s="48"/>
      <c r="G1882" s="48"/>
      <c r="H1882" s="48"/>
      <c r="I1882" s="48"/>
      <c r="J1882" s="48"/>
      <c r="K1882" s="48"/>
      <c r="L1882" s="48"/>
      <c r="M1882" s="48"/>
      <c r="N1882" s="48"/>
      <c r="O1882" s="48"/>
      <c r="P1882" s="48"/>
    </row>
    <row r="1883" spans="1:16">
      <c r="A1883" s="49"/>
      <c r="B1883" s="49"/>
      <c r="C1883" s="50"/>
      <c r="D1883" s="52"/>
      <c r="E1883" s="53"/>
      <c r="F1883" s="53"/>
      <c r="G1883" s="54"/>
      <c r="H1883" s="53"/>
      <c r="I1883" s="53"/>
      <c r="J1883" s="54"/>
      <c r="K1883" s="53"/>
      <c r="L1883" s="53"/>
      <c r="M1883" s="54"/>
      <c r="N1883" s="53"/>
      <c r="O1883" s="53"/>
      <c r="P1883" s="54"/>
    </row>
    <row r="1884" spans="1:16" ht="15">
      <c r="A1884" s="49"/>
      <c r="B1884" s="49"/>
      <c r="C1884" s="50"/>
      <c r="D1884" s="51"/>
      <c r="E1884" s="48"/>
      <c r="F1884" s="48"/>
      <c r="G1884" s="48"/>
      <c r="H1884" s="48"/>
      <c r="I1884" s="48"/>
      <c r="J1884" s="48"/>
      <c r="K1884" s="48"/>
      <c r="L1884" s="48"/>
      <c r="M1884" s="48"/>
      <c r="N1884" s="48"/>
      <c r="O1884" s="48"/>
      <c r="P1884" s="48"/>
    </row>
    <row r="1885" spans="1:16">
      <c r="A1885" s="49"/>
      <c r="B1885" s="49"/>
      <c r="C1885" s="50"/>
      <c r="D1885" s="52"/>
      <c r="E1885" s="53"/>
      <c r="F1885" s="53"/>
      <c r="G1885" s="54"/>
      <c r="H1885" s="53"/>
      <c r="I1885" s="53"/>
      <c r="J1885" s="54"/>
      <c r="K1885" s="53"/>
      <c r="L1885" s="53"/>
      <c r="M1885" s="54"/>
      <c r="N1885" s="53"/>
      <c r="O1885" s="53"/>
      <c r="P1885" s="54"/>
    </row>
    <row r="1886" spans="1:16" ht="15">
      <c r="A1886" s="49"/>
      <c r="B1886" s="49"/>
      <c r="C1886" s="50"/>
      <c r="D1886" s="51"/>
      <c r="E1886" s="48"/>
      <c r="F1886" s="48"/>
      <c r="G1886" s="48"/>
      <c r="H1886" s="48"/>
      <c r="I1886" s="48"/>
      <c r="J1886" s="48"/>
      <c r="K1886" s="48"/>
      <c r="L1886" s="48"/>
      <c r="M1886" s="48"/>
      <c r="N1886" s="48"/>
      <c r="O1886" s="48"/>
      <c r="P1886" s="48"/>
    </row>
    <row r="1887" spans="1:16">
      <c r="A1887" s="49"/>
      <c r="B1887" s="49"/>
      <c r="C1887" s="50"/>
      <c r="D1887" s="52"/>
      <c r="E1887" s="53"/>
      <c r="F1887" s="53"/>
      <c r="G1887" s="54"/>
      <c r="H1887" s="53"/>
      <c r="I1887" s="53"/>
      <c r="J1887" s="54"/>
      <c r="K1887" s="53"/>
      <c r="L1887" s="53"/>
      <c r="M1887" s="54"/>
      <c r="N1887" s="53"/>
      <c r="O1887" s="53"/>
      <c r="P1887" s="54"/>
    </row>
    <row r="1888" spans="1:16" ht="15">
      <c r="A1888" s="49"/>
      <c r="B1888" s="49"/>
      <c r="C1888" s="50"/>
      <c r="D1888" s="51"/>
      <c r="E1888" s="48"/>
      <c r="F1888" s="48"/>
      <c r="G1888" s="48"/>
      <c r="H1888" s="48"/>
      <c r="I1888" s="48"/>
      <c r="J1888" s="48"/>
      <c r="K1888" s="48"/>
      <c r="L1888" s="48"/>
      <c r="M1888" s="48"/>
      <c r="N1888" s="48"/>
      <c r="O1888" s="48"/>
      <c r="P1888" s="48"/>
    </row>
    <row r="1889" spans="1:16">
      <c r="A1889" s="49"/>
      <c r="B1889" s="49"/>
      <c r="C1889" s="50"/>
      <c r="D1889" s="52"/>
      <c r="E1889" s="53"/>
      <c r="F1889" s="53"/>
      <c r="G1889" s="54"/>
      <c r="H1889" s="53"/>
      <c r="I1889" s="53"/>
      <c r="J1889" s="54"/>
      <c r="K1889" s="53"/>
      <c r="L1889" s="53"/>
      <c r="M1889" s="54"/>
      <c r="N1889" s="53"/>
      <c r="O1889" s="53"/>
      <c r="P1889" s="54"/>
    </row>
    <row r="1890" spans="1:16" ht="15">
      <c r="A1890" s="49"/>
      <c r="B1890" s="49"/>
      <c r="C1890" s="50"/>
      <c r="D1890" s="51"/>
      <c r="E1890" s="48"/>
      <c r="F1890" s="48"/>
      <c r="G1890" s="48"/>
      <c r="H1890" s="48"/>
      <c r="I1890" s="48"/>
      <c r="J1890" s="48"/>
      <c r="K1890" s="48"/>
      <c r="L1890" s="48"/>
      <c r="M1890" s="48"/>
      <c r="N1890" s="48"/>
      <c r="O1890" s="48"/>
      <c r="P1890" s="48"/>
    </row>
    <row r="1891" spans="1:16">
      <c r="A1891" s="49"/>
      <c r="B1891" s="49"/>
      <c r="C1891" s="50"/>
      <c r="D1891" s="52"/>
      <c r="E1891" s="53"/>
      <c r="F1891" s="53"/>
      <c r="G1891" s="54"/>
      <c r="H1891" s="53"/>
      <c r="I1891" s="53"/>
      <c r="J1891" s="54"/>
      <c r="K1891" s="53"/>
      <c r="L1891" s="53"/>
      <c r="M1891" s="54"/>
      <c r="N1891" s="53"/>
      <c r="O1891" s="53"/>
      <c r="P1891" s="54"/>
    </row>
    <row r="1892" spans="1:16" ht="15">
      <c r="A1892" s="49"/>
      <c r="B1892" s="49"/>
      <c r="C1892" s="50"/>
      <c r="D1892" s="51"/>
      <c r="E1892" s="48"/>
      <c r="F1892" s="48"/>
      <c r="G1892" s="48"/>
      <c r="H1892" s="48"/>
      <c r="I1892" s="48"/>
      <c r="J1892" s="48"/>
      <c r="K1892" s="48"/>
      <c r="L1892" s="48"/>
      <c r="M1892" s="48"/>
      <c r="N1892" s="48"/>
      <c r="O1892" s="48"/>
      <c r="P1892" s="48"/>
    </row>
    <row r="1893" spans="1:16">
      <c r="A1893" s="49"/>
      <c r="B1893" s="49"/>
      <c r="C1893" s="50"/>
      <c r="D1893" s="52"/>
      <c r="E1893" s="53"/>
      <c r="F1893" s="53"/>
      <c r="G1893" s="54"/>
      <c r="H1893" s="53"/>
      <c r="I1893" s="53"/>
      <c r="J1893" s="54"/>
      <c r="K1893" s="53"/>
      <c r="L1893" s="53"/>
      <c r="M1893" s="54"/>
      <c r="N1893" s="53"/>
      <c r="O1893" s="53"/>
      <c r="P1893" s="54"/>
    </row>
    <row r="1894" spans="1:16" ht="15">
      <c r="A1894" s="49"/>
      <c r="B1894" s="49"/>
      <c r="C1894" s="50"/>
      <c r="D1894" s="51"/>
      <c r="E1894" s="48"/>
      <c r="F1894" s="48"/>
      <c r="G1894" s="48"/>
      <c r="H1894" s="48"/>
      <c r="I1894" s="48"/>
      <c r="J1894" s="48"/>
      <c r="K1894" s="48"/>
      <c r="L1894" s="48"/>
      <c r="M1894" s="48"/>
      <c r="N1894" s="48"/>
      <c r="O1894" s="48"/>
      <c r="P1894" s="48"/>
    </row>
    <row r="1895" spans="1:16">
      <c r="A1895" s="49"/>
      <c r="B1895" s="49"/>
      <c r="C1895" s="50"/>
      <c r="D1895" s="52"/>
      <c r="E1895" s="53"/>
      <c r="F1895" s="53"/>
      <c r="G1895" s="54"/>
      <c r="H1895" s="53"/>
      <c r="I1895" s="53"/>
      <c r="J1895" s="54"/>
      <c r="K1895" s="53"/>
      <c r="L1895" s="53"/>
      <c r="M1895" s="54"/>
      <c r="N1895" s="53"/>
      <c r="O1895" s="53"/>
      <c r="P1895" s="54"/>
    </row>
    <row r="1896" spans="1:16" ht="15">
      <c r="A1896" s="49"/>
      <c r="B1896" s="49"/>
      <c r="C1896" s="50"/>
      <c r="D1896" s="51"/>
      <c r="E1896" s="48"/>
      <c r="F1896" s="48"/>
      <c r="G1896" s="48"/>
      <c r="H1896" s="48"/>
      <c r="I1896" s="48"/>
      <c r="J1896" s="48"/>
      <c r="K1896" s="48"/>
      <c r="L1896" s="48"/>
      <c r="M1896" s="48"/>
      <c r="N1896" s="48"/>
      <c r="O1896" s="48"/>
      <c r="P1896" s="48"/>
    </row>
    <row r="1897" spans="1:16">
      <c r="A1897" s="49"/>
      <c r="B1897" s="49"/>
      <c r="C1897" s="50"/>
      <c r="D1897" s="52"/>
      <c r="E1897" s="53"/>
      <c r="F1897" s="53"/>
      <c r="G1897" s="54"/>
      <c r="H1897" s="53"/>
      <c r="I1897" s="53"/>
      <c r="J1897" s="54"/>
      <c r="K1897" s="53"/>
      <c r="L1897" s="53"/>
      <c r="M1897" s="54"/>
      <c r="N1897" s="53"/>
      <c r="O1897" s="53"/>
      <c r="P1897" s="54"/>
    </row>
    <row r="1898" spans="1:16" ht="15">
      <c r="A1898" s="49"/>
      <c r="B1898" s="49"/>
      <c r="C1898" s="50"/>
      <c r="D1898" s="51"/>
      <c r="E1898" s="48"/>
      <c r="F1898" s="48"/>
      <c r="G1898" s="48"/>
      <c r="H1898" s="48"/>
      <c r="I1898" s="48"/>
      <c r="J1898" s="48"/>
      <c r="K1898" s="48"/>
      <c r="L1898" s="48"/>
      <c r="M1898" s="48"/>
      <c r="N1898" s="48"/>
      <c r="O1898" s="48"/>
      <c r="P1898" s="48"/>
    </row>
    <row r="1899" spans="1:16">
      <c r="A1899" s="49"/>
      <c r="B1899" s="49"/>
      <c r="C1899" s="50"/>
      <c r="D1899" s="52"/>
      <c r="E1899" s="53"/>
      <c r="F1899" s="53"/>
      <c r="G1899" s="54"/>
      <c r="H1899" s="53"/>
      <c r="I1899" s="53"/>
      <c r="J1899" s="54"/>
      <c r="K1899" s="53"/>
      <c r="L1899" s="53"/>
      <c r="M1899" s="54"/>
      <c r="N1899" s="53"/>
      <c r="O1899" s="53"/>
      <c r="P1899" s="54"/>
    </row>
    <row r="1900" spans="1:16" ht="15">
      <c r="A1900" s="49"/>
      <c r="B1900" s="49"/>
      <c r="C1900" s="50"/>
      <c r="D1900" s="51"/>
      <c r="E1900" s="48"/>
      <c r="F1900" s="48"/>
      <c r="G1900" s="48"/>
      <c r="H1900" s="48"/>
      <c r="I1900" s="48"/>
      <c r="J1900" s="48"/>
      <c r="K1900" s="48"/>
      <c r="L1900" s="48"/>
      <c r="M1900" s="48"/>
      <c r="N1900" s="48"/>
      <c r="O1900" s="48"/>
      <c r="P1900" s="48"/>
    </row>
    <row r="1901" spans="1:16">
      <c r="A1901" s="49"/>
      <c r="B1901" s="49"/>
      <c r="C1901" s="50"/>
      <c r="D1901" s="52"/>
      <c r="E1901" s="53"/>
      <c r="F1901" s="53"/>
      <c r="G1901" s="54"/>
      <c r="H1901" s="53"/>
      <c r="I1901" s="53"/>
      <c r="J1901" s="54"/>
      <c r="K1901" s="53"/>
      <c r="L1901" s="53"/>
      <c r="M1901" s="54"/>
      <c r="N1901" s="53"/>
      <c r="O1901" s="53"/>
      <c r="P1901" s="54"/>
    </row>
    <row r="1902" spans="1:16" ht="15">
      <c r="A1902" s="49"/>
      <c r="B1902" s="49"/>
      <c r="C1902" s="50"/>
      <c r="D1902" s="51"/>
      <c r="E1902" s="48"/>
      <c r="F1902" s="48"/>
      <c r="G1902" s="48"/>
      <c r="H1902" s="48"/>
      <c r="I1902" s="48"/>
      <c r="J1902" s="48"/>
      <c r="K1902" s="48"/>
      <c r="L1902" s="48"/>
      <c r="M1902" s="48"/>
      <c r="N1902" s="48"/>
      <c r="O1902" s="48"/>
      <c r="P1902" s="48"/>
    </row>
    <row r="1903" spans="1:16">
      <c r="A1903" s="49"/>
      <c r="B1903" s="49"/>
      <c r="C1903" s="50"/>
      <c r="D1903" s="52"/>
      <c r="E1903" s="53"/>
      <c r="F1903" s="53"/>
      <c r="G1903" s="54"/>
      <c r="H1903" s="53"/>
      <c r="I1903" s="53"/>
      <c r="J1903" s="54"/>
      <c r="K1903" s="53"/>
      <c r="L1903" s="53"/>
      <c r="M1903" s="54"/>
      <c r="N1903" s="53"/>
      <c r="O1903" s="53"/>
      <c r="P1903" s="54"/>
    </row>
    <row r="1904" spans="1:16" ht="15">
      <c r="A1904" s="49"/>
      <c r="B1904" s="49"/>
      <c r="C1904" s="50"/>
      <c r="D1904" s="51"/>
      <c r="E1904" s="48"/>
      <c r="F1904" s="48"/>
      <c r="G1904" s="48"/>
      <c r="H1904" s="48"/>
      <c r="I1904" s="48"/>
      <c r="J1904" s="48"/>
      <c r="K1904" s="48"/>
      <c r="L1904" s="48"/>
      <c r="M1904" s="48"/>
      <c r="N1904" s="48"/>
      <c r="O1904" s="48"/>
      <c r="P1904" s="48"/>
    </row>
    <row r="1905" spans="1:16">
      <c r="A1905" s="49"/>
      <c r="B1905" s="49"/>
      <c r="C1905" s="50"/>
      <c r="D1905" s="52"/>
      <c r="E1905" s="53"/>
      <c r="F1905" s="53"/>
      <c r="G1905" s="54"/>
      <c r="H1905" s="53"/>
      <c r="I1905" s="53"/>
      <c r="J1905" s="54"/>
      <c r="K1905" s="53"/>
      <c r="L1905" s="53"/>
      <c r="M1905" s="54"/>
      <c r="N1905" s="53"/>
      <c r="O1905" s="53"/>
      <c r="P1905" s="54"/>
    </row>
    <row r="1906" spans="1:16" ht="15">
      <c r="A1906" s="49"/>
      <c r="B1906" s="49"/>
      <c r="C1906" s="50"/>
      <c r="D1906" s="51"/>
      <c r="E1906" s="48"/>
      <c r="F1906" s="48"/>
      <c r="G1906" s="48"/>
      <c r="H1906" s="48"/>
      <c r="I1906" s="48"/>
      <c r="J1906" s="48"/>
      <c r="K1906" s="48"/>
      <c r="L1906" s="48"/>
      <c r="M1906" s="48"/>
      <c r="N1906" s="48"/>
      <c r="O1906" s="48"/>
      <c r="P1906" s="48"/>
    </row>
    <row r="1907" spans="1:16">
      <c r="A1907" s="49"/>
      <c r="B1907" s="49"/>
      <c r="C1907" s="50"/>
      <c r="D1907" s="52"/>
      <c r="E1907" s="53"/>
      <c r="F1907" s="53"/>
      <c r="G1907" s="54"/>
      <c r="H1907" s="53"/>
      <c r="I1907" s="53"/>
      <c r="J1907" s="54"/>
      <c r="K1907" s="53"/>
      <c r="L1907" s="53"/>
      <c r="M1907" s="54"/>
      <c r="N1907" s="53"/>
      <c r="O1907" s="53"/>
      <c r="P1907" s="54"/>
    </row>
    <row r="1908" spans="1:16" ht="15">
      <c r="A1908" s="49"/>
      <c r="B1908" s="49"/>
      <c r="C1908" s="50"/>
      <c r="D1908" s="51"/>
      <c r="E1908" s="48"/>
      <c r="F1908" s="48"/>
      <c r="G1908" s="48"/>
      <c r="H1908" s="48"/>
      <c r="I1908" s="48"/>
      <c r="J1908" s="48"/>
      <c r="K1908" s="48"/>
      <c r="L1908" s="48"/>
      <c r="M1908" s="48"/>
      <c r="N1908" s="48"/>
      <c r="O1908" s="48"/>
      <c r="P1908" s="48"/>
    </row>
    <row r="1909" spans="1:16">
      <c r="A1909" s="49"/>
      <c r="B1909" s="49"/>
      <c r="C1909" s="50"/>
      <c r="D1909" s="52"/>
      <c r="E1909" s="53"/>
      <c r="F1909" s="53"/>
      <c r="G1909" s="54"/>
      <c r="H1909" s="53"/>
      <c r="I1909" s="53"/>
      <c r="J1909" s="54"/>
      <c r="K1909" s="53"/>
      <c r="L1909" s="53"/>
      <c r="M1909" s="54"/>
      <c r="N1909" s="53"/>
      <c r="O1909" s="53"/>
      <c r="P1909" s="54"/>
    </row>
    <row r="1910" spans="1:16" ht="15">
      <c r="A1910" s="49"/>
      <c r="B1910" s="49"/>
      <c r="C1910" s="50"/>
      <c r="D1910" s="51"/>
      <c r="E1910" s="48"/>
      <c r="F1910" s="48"/>
      <c r="G1910" s="48"/>
      <c r="H1910" s="48"/>
      <c r="I1910" s="48"/>
      <c r="J1910" s="48"/>
      <c r="K1910" s="48"/>
      <c r="L1910" s="48"/>
      <c r="M1910" s="48"/>
      <c r="N1910" s="48"/>
      <c r="O1910" s="48"/>
      <c r="P1910" s="48"/>
    </row>
    <row r="1911" spans="1:16">
      <c r="A1911" s="49"/>
      <c r="B1911" s="49"/>
      <c r="C1911" s="50"/>
      <c r="D1911" s="52"/>
      <c r="E1911" s="53"/>
      <c r="F1911" s="53"/>
      <c r="G1911" s="54"/>
      <c r="H1911" s="53"/>
      <c r="I1911" s="53"/>
      <c r="J1911" s="54"/>
      <c r="K1911" s="53"/>
      <c r="L1911" s="53"/>
      <c r="M1911" s="54"/>
      <c r="N1911" s="53"/>
      <c r="O1911" s="53"/>
      <c r="P1911" s="54"/>
    </row>
    <row r="1912" spans="1:16" ht="15">
      <c r="A1912" s="49"/>
      <c r="B1912" s="49"/>
      <c r="C1912" s="50"/>
      <c r="D1912" s="51"/>
      <c r="E1912" s="48"/>
      <c r="F1912" s="48"/>
      <c r="G1912" s="48"/>
      <c r="H1912" s="48"/>
      <c r="I1912" s="48"/>
      <c r="J1912" s="48"/>
      <c r="K1912" s="48"/>
      <c r="L1912" s="48"/>
      <c r="M1912" s="48"/>
      <c r="N1912" s="48"/>
      <c r="O1912" s="48"/>
      <c r="P1912" s="48"/>
    </row>
    <row r="1913" spans="1:16">
      <c r="A1913" s="49"/>
      <c r="B1913" s="49"/>
      <c r="C1913" s="50"/>
      <c r="D1913" s="52"/>
      <c r="E1913" s="53"/>
      <c r="F1913" s="53"/>
      <c r="G1913" s="54"/>
      <c r="H1913" s="53"/>
      <c r="I1913" s="53"/>
      <c r="J1913" s="54"/>
      <c r="K1913" s="53"/>
      <c r="L1913" s="53"/>
      <c r="M1913" s="54"/>
      <c r="N1913" s="53"/>
      <c r="O1913" s="53"/>
      <c r="P1913" s="54"/>
    </row>
    <row r="1914" spans="1:16" ht="15">
      <c r="A1914" s="49"/>
      <c r="B1914" s="49"/>
      <c r="C1914" s="50"/>
      <c r="D1914" s="51"/>
      <c r="E1914" s="48"/>
      <c r="F1914" s="48"/>
      <c r="G1914" s="48"/>
      <c r="H1914" s="48"/>
      <c r="I1914" s="48"/>
      <c r="J1914" s="48"/>
      <c r="K1914" s="48"/>
      <c r="L1914" s="48"/>
      <c r="M1914" s="48"/>
      <c r="N1914" s="48"/>
      <c r="O1914" s="48"/>
      <c r="P1914" s="48"/>
    </row>
    <row r="1915" spans="1:16">
      <c r="A1915" s="49"/>
      <c r="B1915" s="49"/>
      <c r="C1915" s="50"/>
      <c r="D1915" s="52"/>
      <c r="E1915" s="53"/>
      <c r="F1915" s="53"/>
      <c r="G1915" s="54"/>
      <c r="H1915" s="53"/>
      <c r="I1915" s="53"/>
      <c r="J1915" s="54"/>
      <c r="K1915" s="53"/>
      <c r="L1915" s="53"/>
      <c r="M1915" s="54"/>
      <c r="N1915" s="53"/>
      <c r="O1915" s="53"/>
      <c r="P1915" s="54"/>
    </row>
    <row r="1916" spans="1:16" ht="15">
      <c r="A1916" s="49"/>
      <c r="B1916" s="49"/>
      <c r="C1916" s="50"/>
      <c r="D1916" s="51"/>
      <c r="E1916" s="48"/>
      <c r="F1916" s="48"/>
      <c r="G1916" s="48"/>
      <c r="H1916" s="48"/>
      <c r="I1916" s="48"/>
      <c r="J1916" s="48"/>
      <c r="K1916" s="48"/>
      <c r="L1916" s="48"/>
      <c r="M1916" s="48"/>
      <c r="N1916" s="48"/>
      <c r="O1916" s="48"/>
      <c r="P1916" s="48"/>
    </row>
    <row r="1917" spans="1:16">
      <c r="A1917" s="49"/>
      <c r="B1917" s="49"/>
      <c r="C1917" s="50"/>
      <c r="D1917" s="52"/>
      <c r="E1917" s="53"/>
      <c r="F1917" s="53"/>
      <c r="G1917" s="54"/>
      <c r="H1917" s="53"/>
      <c r="I1917" s="53"/>
      <c r="J1917" s="54"/>
      <c r="K1917" s="53"/>
      <c r="L1917" s="53"/>
      <c r="M1917" s="54"/>
      <c r="N1917" s="53"/>
      <c r="O1917" s="53"/>
      <c r="P1917" s="54"/>
    </row>
    <row r="1918" spans="1:16" ht="15">
      <c r="A1918" s="49"/>
      <c r="B1918" s="49"/>
      <c r="C1918" s="50"/>
      <c r="D1918" s="51"/>
      <c r="E1918" s="48"/>
      <c r="F1918" s="48"/>
      <c r="G1918" s="48"/>
      <c r="H1918" s="48"/>
      <c r="I1918" s="48"/>
      <c r="J1918" s="48"/>
      <c r="K1918" s="48"/>
      <c r="L1918" s="48"/>
      <c r="M1918" s="48"/>
      <c r="N1918" s="48"/>
      <c r="O1918" s="48"/>
      <c r="P1918" s="48"/>
    </row>
    <row r="1919" spans="1:16">
      <c r="A1919" s="49"/>
      <c r="B1919" s="49"/>
      <c r="C1919" s="50"/>
      <c r="D1919" s="52"/>
      <c r="E1919" s="53"/>
      <c r="F1919" s="53"/>
      <c r="G1919" s="54"/>
      <c r="H1919" s="53"/>
      <c r="I1919" s="53"/>
      <c r="J1919" s="54"/>
      <c r="K1919" s="53"/>
      <c r="L1919" s="53"/>
      <c r="M1919" s="54"/>
      <c r="N1919" s="53"/>
      <c r="O1919" s="53"/>
      <c r="P1919" s="54"/>
    </row>
    <row r="1920" spans="1:16" ht="15">
      <c r="A1920" s="49"/>
      <c r="B1920" s="49"/>
      <c r="C1920" s="50"/>
      <c r="D1920" s="51"/>
      <c r="E1920" s="48"/>
      <c r="F1920" s="48"/>
      <c r="G1920" s="48"/>
      <c r="H1920" s="48"/>
      <c r="I1920" s="48"/>
      <c r="J1920" s="48"/>
      <c r="K1920" s="48"/>
      <c r="L1920" s="48"/>
      <c r="M1920" s="48"/>
      <c r="N1920" s="48"/>
      <c r="O1920" s="48"/>
      <c r="P1920" s="48"/>
    </row>
    <row r="1921" spans="1:16">
      <c r="A1921" s="49"/>
      <c r="B1921" s="49"/>
      <c r="C1921" s="50"/>
      <c r="D1921" s="52"/>
      <c r="E1921" s="53"/>
      <c r="F1921" s="53"/>
      <c r="G1921" s="54"/>
      <c r="H1921" s="53"/>
      <c r="I1921" s="53"/>
      <c r="J1921" s="54"/>
      <c r="K1921" s="53"/>
      <c r="L1921" s="53"/>
      <c r="M1921" s="54"/>
      <c r="N1921" s="53"/>
      <c r="O1921" s="53"/>
      <c r="P1921" s="54"/>
    </row>
    <row r="1922" spans="1:16" ht="15">
      <c r="A1922" s="49"/>
      <c r="B1922" s="49"/>
      <c r="C1922" s="50"/>
      <c r="D1922" s="51"/>
      <c r="E1922" s="48"/>
      <c r="F1922" s="48"/>
      <c r="G1922" s="48"/>
      <c r="H1922" s="48"/>
      <c r="I1922" s="48"/>
      <c r="J1922" s="48"/>
      <c r="K1922" s="48"/>
      <c r="L1922" s="48"/>
      <c r="M1922" s="48"/>
      <c r="N1922" s="48"/>
      <c r="O1922" s="48"/>
      <c r="P1922" s="48"/>
    </row>
    <row r="1923" spans="1:16">
      <c r="A1923" s="49"/>
      <c r="B1923" s="49"/>
      <c r="C1923" s="50"/>
      <c r="D1923" s="52"/>
      <c r="E1923" s="53"/>
      <c r="F1923" s="53"/>
      <c r="G1923" s="54"/>
      <c r="H1923" s="53"/>
      <c r="I1923" s="53"/>
      <c r="J1923" s="54"/>
      <c r="K1923" s="53"/>
      <c r="L1923" s="53"/>
      <c r="M1923" s="54"/>
      <c r="N1923" s="53"/>
      <c r="O1923" s="53"/>
      <c r="P1923" s="54"/>
    </row>
    <row r="1924" spans="1:16" ht="15">
      <c r="A1924" s="49"/>
      <c r="B1924" s="49"/>
      <c r="C1924" s="50"/>
      <c r="D1924" s="51"/>
      <c r="E1924" s="48"/>
      <c r="F1924" s="48"/>
      <c r="G1924" s="48"/>
      <c r="H1924" s="48"/>
      <c r="I1924" s="48"/>
      <c r="J1924" s="48"/>
      <c r="K1924" s="48"/>
      <c r="L1924" s="48"/>
      <c r="M1924" s="48"/>
      <c r="N1924" s="48"/>
      <c r="O1924" s="48"/>
      <c r="P1924" s="48"/>
    </row>
    <row r="1925" spans="1:16">
      <c r="A1925" s="49"/>
      <c r="B1925" s="49"/>
      <c r="C1925" s="50"/>
      <c r="D1925" s="52"/>
      <c r="E1925" s="53"/>
      <c r="F1925" s="53"/>
      <c r="G1925" s="54"/>
      <c r="H1925" s="53"/>
      <c r="I1925" s="53"/>
      <c r="J1925" s="54"/>
      <c r="K1925" s="53"/>
      <c r="L1925" s="53"/>
      <c r="M1925" s="54"/>
      <c r="N1925" s="53"/>
      <c r="O1925" s="53"/>
      <c r="P1925" s="54"/>
    </row>
    <row r="1926" spans="1:16" ht="15">
      <c r="A1926" s="49"/>
      <c r="B1926" s="49"/>
      <c r="C1926" s="50"/>
      <c r="D1926" s="51"/>
      <c r="E1926" s="48"/>
      <c r="F1926" s="48"/>
      <c r="G1926" s="48"/>
      <c r="H1926" s="48"/>
      <c r="I1926" s="48"/>
      <c r="J1926" s="48"/>
      <c r="K1926" s="48"/>
      <c r="L1926" s="48"/>
      <c r="M1926" s="48"/>
      <c r="N1926" s="48"/>
      <c r="O1926" s="48"/>
      <c r="P1926" s="48"/>
    </row>
  </sheetData>
  <mergeCells count="35">
    <mergeCell ref="C125:C130"/>
    <mergeCell ref="C131:C133"/>
    <mergeCell ref="C134:C137"/>
    <mergeCell ref="C138:C139"/>
    <mergeCell ref="C95:C100"/>
    <mergeCell ref="C101:C106"/>
    <mergeCell ref="C107:C112"/>
    <mergeCell ref="C113:C118"/>
    <mergeCell ref="C119:C124"/>
    <mergeCell ref="C65:C70"/>
    <mergeCell ref="C71:C76"/>
    <mergeCell ref="C77:C82"/>
    <mergeCell ref="C83:C88"/>
    <mergeCell ref="C89:C94"/>
    <mergeCell ref="C35:C40"/>
    <mergeCell ref="C41:C46"/>
    <mergeCell ref="C47:C52"/>
    <mergeCell ref="C53:C58"/>
    <mergeCell ref="C59:C64"/>
    <mergeCell ref="A3:D4"/>
    <mergeCell ref="A1:C1"/>
    <mergeCell ref="H155:N171"/>
    <mergeCell ref="E151:I153"/>
    <mergeCell ref="F3:G3"/>
    <mergeCell ref="H3:J3"/>
    <mergeCell ref="K3:M3"/>
    <mergeCell ref="N3:P3"/>
    <mergeCell ref="E3:E4"/>
    <mergeCell ref="A5:A139"/>
    <mergeCell ref="B5:B139"/>
    <mergeCell ref="C5:C10"/>
    <mergeCell ref="C11:C16"/>
    <mergeCell ref="C17:C22"/>
    <mergeCell ref="C23:C28"/>
    <mergeCell ref="C29:C34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R21"/>
  <sheetViews>
    <sheetView topLeftCell="A14" zoomScale="74" workbookViewId="0">
      <selection activeCell="CL9" sqref="CL9"/>
    </sheetView>
  </sheetViews>
  <sheetFormatPr baseColWidth="10" defaultColWidth="11" defaultRowHeight="14.5"/>
  <sheetData>
    <row r="2" spans="1:96" ht="33" customHeight="1">
      <c r="A2" s="343" t="s">
        <v>43</v>
      </c>
      <c r="B2" s="343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</row>
    <row r="3" spans="1:96">
      <c r="A3" s="342" t="s">
        <v>44</v>
      </c>
      <c r="B3" s="342"/>
      <c r="C3" s="342" t="s">
        <v>45</v>
      </c>
      <c r="D3" s="342" t="s">
        <v>1</v>
      </c>
      <c r="E3" s="342"/>
      <c r="F3" s="342"/>
      <c r="G3" s="342" t="s">
        <v>46</v>
      </c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2"/>
      <c r="BS3" s="342"/>
      <c r="BT3" s="342"/>
      <c r="BU3" s="342"/>
      <c r="BV3" s="342"/>
      <c r="BW3" s="342"/>
      <c r="BX3" s="342"/>
      <c r="BY3" s="342"/>
      <c r="BZ3" s="342"/>
      <c r="CA3" s="342"/>
      <c r="CB3" s="342"/>
      <c r="CC3" s="342"/>
      <c r="CD3" s="342"/>
      <c r="CE3" s="342"/>
      <c r="CF3" s="342"/>
      <c r="CG3" s="342"/>
      <c r="CH3" s="342"/>
      <c r="CI3" s="342"/>
      <c r="CJ3" s="342"/>
      <c r="CK3" s="342"/>
      <c r="CL3" s="342"/>
      <c r="CM3" s="342"/>
      <c r="CN3" s="342"/>
      <c r="CO3" s="342"/>
      <c r="CP3" s="342"/>
      <c r="CQ3" s="342"/>
      <c r="CR3" s="342"/>
    </row>
    <row r="4" spans="1:96">
      <c r="A4" s="342"/>
      <c r="B4" s="342"/>
      <c r="C4" s="342"/>
      <c r="D4" s="342"/>
      <c r="E4" s="342"/>
      <c r="F4" s="342"/>
      <c r="G4" s="342" t="s">
        <v>47</v>
      </c>
      <c r="H4" s="342"/>
      <c r="I4" s="342"/>
      <c r="J4" s="342" t="s">
        <v>48</v>
      </c>
      <c r="K4" s="342"/>
      <c r="L4" s="342"/>
      <c r="M4" s="342" t="s">
        <v>49</v>
      </c>
      <c r="N4" s="342"/>
      <c r="O4" s="342"/>
      <c r="P4" s="342" t="s">
        <v>50</v>
      </c>
      <c r="Q4" s="342"/>
      <c r="R4" s="342"/>
      <c r="S4" s="342" t="s">
        <v>51</v>
      </c>
      <c r="T4" s="342"/>
      <c r="U4" s="342"/>
      <c r="V4" s="342" t="s">
        <v>52</v>
      </c>
      <c r="W4" s="342"/>
      <c r="X4" s="342"/>
      <c r="Y4" s="342" t="s">
        <v>53</v>
      </c>
      <c r="Z4" s="342"/>
      <c r="AA4" s="342"/>
      <c r="AB4" s="342" t="s">
        <v>54</v>
      </c>
      <c r="AC4" s="342"/>
      <c r="AD4" s="342"/>
      <c r="AE4" s="342" t="s">
        <v>55</v>
      </c>
      <c r="AF4" s="342"/>
      <c r="AG4" s="342"/>
      <c r="AH4" s="342" t="s">
        <v>56</v>
      </c>
      <c r="AI4" s="342"/>
      <c r="AJ4" s="342"/>
      <c r="AK4" s="342" t="s">
        <v>57</v>
      </c>
      <c r="AL4" s="342"/>
      <c r="AM4" s="342"/>
      <c r="AN4" s="342" t="s">
        <v>58</v>
      </c>
      <c r="AO4" s="342"/>
      <c r="AP4" s="342"/>
      <c r="AQ4" s="342" t="s">
        <v>59</v>
      </c>
      <c r="AR4" s="342"/>
      <c r="AS4" s="342"/>
      <c r="AT4" s="342" t="s">
        <v>60</v>
      </c>
      <c r="AU4" s="342"/>
      <c r="AV4" s="342"/>
      <c r="AW4" s="342" t="s">
        <v>61</v>
      </c>
      <c r="AX4" s="342"/>
      <c r="AY4" s="342"/>
      <c r="AZ4" s="342" t="s">
        <v>62</v>
      </c>
      <c r="BA4" s="342"/>
      <c r="BB4" s="342"/>
      <c r="BC4" s="342" t="s">
        <v>63</v>
      </c>
      <c r="BD4" s="342"/>
      <c r="BE4" s="342"/>
      <c r="BF4" s="342" t="s">
        <v>64</v>
      </c>
      <c r="BG4" s="342"/>
      <c r="BH4" s="342"/>
      <c r="BI4" s="342" t="s">
        <v>65</v>
      </c>
      <c r="BJ4" s="342"/>
      <c r="BK4" s="342"/>
      <c r="BL4" s="342" t="s">
        <v>66</v>
      </c>
      <c r="BM4" s="342"/>
      <c r="BN4" s="342"/>
      <c r="BO4" s="342" t="s">
        <v>67</v>
      </c>
      <c r="BP4" s="342"/>
      <c r="BQ4" s="342"/>
      <c r="BR4" s="342" t="s">
        <v>68</v>
      </c>
      <c r="BS4" s="342"/>
      <c r="BT4" s="342"/>
      <c r="BU4" s="342" t="s">
        <v>69</v>
      </c>
      <c r="BV4" s="342"/>
      <c r="BW4" s="342"/>
      <c r="BX4" s="342" t="s">
        <v>70</v>
      </c>
      <c r="BY4" s="342"/>
      <c r="BZ4" s="342"/>
      <c r="CA4" s="342" t="s">
        <v>71</v>
      </c>
      <c r="CB4" s="342"/>
      <c r="CC4" s="342"/>
      <c r="CD4" s="342" t="s">
        <v>72</v>
      </c>
      <c r="CE4" s="342"/>
      <c r="CF4" s="342"/>
      <c r="CG4" s="342" t="s">
        <v>73</v>
      </c>
      <c r="CH4" s="342"/>
      <c r="CI4" s="342"/>
      <c r="CJ4" s="342" t="s">
        <v>74</v>
      </c>
      <c r="CK4" s="342"/>
      <c r="CL4" s="342"/>
      <c r="CM4" s="342" t="s">
        <v>75</v>
      </c>
      <c r="CN4" s="342"/>
      <c r="CO4" s="342"/>
      <c r="CP4" s="342" t="s">
        <v>76</v>
      </c>
      <c r="CQ4" s="342"/>
      <c r="CR4" s="342"/>
    </row>
    <row r="5" spans="1:96" ht="28">
      <c r="A5" s="342"/>
      <c r="B5" s="342"/>
      <c r="C5" s="342"/>
      <c r="D5" s="75" t="s">
        <v>77</v>
      </c>
      <c r="E5" s="75" t="s">
        <v>78</v>
      </c>
      <c r="F5" s="75" t="s">
        <v>79</v>
      </c>
      <c r="G5" s="75" t="s">
        <v>77</v>
      </c>
      <c r="H5" s="75" t="s">
        <v>78</v>
      </c>
      <c r="I5" s="75" t="s">
        <v>79</v>
      </c>
      <c r="J5" s="75" t="s">
        <v>77</v>
      </c>
      <c r="K5" s="75" t="s">
        <v>78</v>
      </c>
      <c r="L5" s="75" t="s">
        <v>79</v>
      </c>
      <c r="M5" s="75" t="s">
        <v>77</v>
      </c>
      <c r="N5" s="75" t="s">
        <v>78</v>
      </c>
      <c r="O5" s="75" t="s">
        <v>79</v>
      </c>
      <c r="P5" s="75" t="s">
        <v>77</v>
      </c>
      <c r="Q5" s="75" t="s">
        <v>78</v>
      </c>
      <c r="R5" s="75" t="s">
        <v>79</v>
      </c>
      <c r="S5" s="75" t="s">
        <v>77</v>
      </c>
      <c r="T5" s="75" t="s">
        <v>78</v>
      </c>
      <c r="U5" s="75" t="s">
        <v>79</v>
      </c>
      <c r="V5" s="75" t="s">
        <v>77</v>
      </c>
      <c r="W5" s="75" t="s">
        <v>78</v>
      </c>
      <c r="X5" s="75" t="s">
        <v>79</v>
      </c>
      <c r="Y5" s="75" t="s">
        <v>77</v>
      </c>
      <c r="Z5" s="75" t="s">
        <v>78</v>
      </c>
      <c r="AA5" s="75" t="s">
        <v>79</v>
      </c>
      <c r="AB5" s="75" t="s">
        <v>77</v>
      </c>
      <c r="AC5" s="75" t="s">
        <v>78</v>
      </c>
      <c r="AD5" s="75" t="s">
        <v>79</v>
      </c>
      <c r="AE5" s="75" t="s">
        <v>77</v>
      </c>
      <c r="AF5" s="75" t="s">
        <v>78</v>
      </c>
      <c r="AG5" s="75" t="s">
        <v>79</v>
      </c>
      <c r="AH5" s="75" t="s">
        <v>77</v>
      </c>
      <c r="AI5" s="75" t="s">
        <v>78</v>
      </c>
      <c r="AJ5" s="75" t="s">
        <v>79</v>
      </c>
      <c r="AK5" s="75" t="s">
        <v>77</v>
      </c>
      <c r="AL5" s="75" t="s">
        <v>78</v>
      </c>
      <c r="AM5" s="75" t="s">
        <v>79</v>
      </c>
      <c r="AN5" s="75" t="s">
        <v>77</v>
      </c>
      <c r="AO5" s="75" t="s">
        <v>78</v>
      </c>
      <c r="AP5" s="75" t="s">
        <v>79</v>
      </c>
      <c r="AQ5" s="75" t="s">
        <v>77</v>
      </c>
      <c r="AR5" s="75" t="s">
        <v>78</v>
      </c>
      <c r="AS5" s="75" t="s">
        <v>79</v>
      </c>
      <c r="AT5" s="75" t="s">
        <v>77</v>
      </c>
      <c r="AU5" s="75" t="s">
        <v>78</v>
      </c>
      <c r="AV5" s="75" t="s">
        <v>79</v>
      </c>
      <c r="AW5" s="75" t="s">
        <v>77</v>
      </c>
      <c r="AX5" s="75" t="s">
        <v>78</v>
      </c>
      <c r="AY5" s="75" t="s">
        <v>79</v>
      </c>
      <c r="AZ5" s="75" t="s">
        <v>77</v>
      </c>
      <c r="BA5" s="75" t="s">
        <v>78</v>
      </c>
      <c r="BB5" s="75" t="s">
        <v>79</v>
      </c>
      <c r="BC5" s="75" t="s">
        <v>77</v>
      </c>
      <c r="BD5" s="75" t="s">
        <v>78</v>
      </c>
      <c r="BE5" s="75" t="s">
        <v>79</v>
      </c>
      <c r="BF5" s="75" t="s">
        <v>77</v>
      </c>
      <c r="BG5" s="75" t="s">
        <v>78</v>
      </c>
      <c r="BH5" s="75" t="s">
        <v>79</v>
      </c>
      <c r="BI5" s="75" t="s">
        <v>77</v>
      </c>
      <c r="BJ5" s="75" t="s">
        <v>78</v>
      </c>
      <c r="BK5" s="75" t="s">
        <v>79</v>
      </c>
      <c r="BL5" s="75" t="s">
        <v>77</v>
      </c>
      <c r="BM5" s="75" t="s">
        <v>78</v>
      </c>
      <c r="BN5" s="75" t="s">
        <v>79</v>
      </c>
      <c r="BO5" s="75" t="s">
        <v>77</v>
      </c>
      <c r="BP5" s="75" t="s">
        <v>78</v>
      </c>
      <c r="BQ5" s="75" t="s">
        <v>79</v>
      </c>
      <c r="BR5" s="75" t="s">
        <v>77</v>
      </c>
      <c r="BS5" s="75" t="s">
        <v>78</v>
      </c>
      <c r="BT5" s="75" t="s">
        <v>79</v>
      </c>
      <c r="BU5" s="75" t="s">
        <v>77</v>
      </c>
      <c r="BV5" s="75" t="s">
        <v>78</v>
      </c>
      <c r="BW5" s="75" t="s">
        <v>79</v>
      </c>
      <c r="BX5" s="75" t="s">
        <v>77</v>
      </c>
      <c r="BY5" s="75" t="s">
        <v>78</v>
      </c>
      <c r="BZ5" s="75" t="s">
        <v>79</v>
      </c>
      <c r="CA5" s="75" t="s">
        <v>77</v>
      </c>
      <c r="CB5" s="75" t="s">
        <v>78</v>
      </c>
      <c r="CC5" s="75" t="s">
        <v>79</v>
      </c>
      <c r="CD5" s="75" t="s">
        <v>77</v>
      </c>
      <c r="CE5" s="75" t="s">
        <v>78</v>
      </c>
      <c r="CF5" s="75" t="s">
        <v>79</v>
      </c>
      <c r="CG5" s="75" t="s">
        <v>77</v>
      </c>
      <c r="CH5" s="75" t="s">
        <v>78</v>
      </c>
      <c r="CI5" s="75" t="s">
        <v>79</v>
      </c>
      <c r="CJ5" s="75" t="s">
        <v>77</v>
      </c>
      <c r="CK5" s="75" t="s">
        <v>78</v>
      </c>
      <c r="CL5" s="75" t="s">
        <v>79</v>
      </c>
      <c r="CM5" s="75" t="s">
        <v>77</v>
      </c>
      <c r="CN5" s="75" t="s">
        <v>78</v>
      </c>
      <c r="CO5" s="75" t="s">
        <v>79</v>
      </c>
      <c r="CP5" s="75" t="s">
        <v>77</v>
      </c>
      <c r="CQ5" s="75" t="s">
        <v>78</v>
      </c>
      <c r="CR5" s="75" t="s">
        <v>79</v>
      </c>
    </row>
    <row r="6" spans="1:96">
      <c r="A6" s="78" t="s">
        <v>45</v>
      </c>
      <c r="B6" s="78" t="s">
        <v>45</v>
      </c>
      <c r="C6" s="76">
        <v>2759</v>
      </c>
      <c r="D6" s="76">
        <v>1546</v>
      </c>
      <c r="E6" s="76">
        <v>1213</v>
      </c>
      <c r="F6" s="76">
        <v>0</v>
      </c>
      <c r="G6" s="82">
        <v>2</v>
      </c>
      <c r="H6" s="82">
        <v>5</v>
      </c>
      <c r="I6" s="82">
        <v>0</v>
      </c>
      <c r="J6" s="82">
        <v>34</v>
      </c>
      <c r="K6" s="82">
        <v>18</v>
      </c>
      <c r="L6" s="82">
        <v>0</v>
      </c>
      <c r="M6" s="82">
        <v>49</v>
      </c>
      <c r="N6" s="82">
        <v>33</v>
      </c>
      <c r="O6" s="82">
        <v>0</v>
      </c>
      <c r="P6" s="82">
        <v>28</v>
      </c>
      <c r="Q6" s="82">
        <v>35</v>
      </c>
      <c r="R6" s="82">
        <v>0</v>
      </c>
      <c r="S6" s="82">
        <v>0</v>
      </c>
      <c r="T6" s="82">
        <v>0</v>
      </c>
      <c r="U6" s="82">
        <v>0</v>
      </c>
      <c r="V6" s="82">
        <v>52</v>
      </c>
      <c r="W6" s="82">
        <v>63</v>
      </c>
      <c r="X6" s="82">
        <v>0</v>
      </c>
      <c r="Y6" s="82">
        <v>51</v>
      </c>
      <c r="Z6" s="82">
        <v>29</v>
      </c>
      <c r="AA6" s="82">
        <v>0</v>
      </c>
      <c r="AB6" s="83">
        <v>43</v>
      </c>
      <c r="AC6" s="83">
        <v>28</v>
      </c>
      <c r="AD6" s="83">
        <v>0</v>
      </c>
      <c r="AE6" s="83">
        <v>33</v>
      </c>
      <c r="AF6" s="83">
        <v>28</v>
      </c>
      <c r="AG6" s="83">
        <v>0</v>
      </c>
      <c r="AH6" s="84">
        <v>20</v>
      </c>
      <c r="AI6" s="84">
        <v>10</v>
      </c>
      <c r="AJ6" s="84">
        <v>0</v>
      </c>
      <c r="AK6" s="85">
        <v>12</v>
      </c>
      <c r="AL6" s="85">
        <v>18</v>
      </c>
      <c r="AM6" s="85">
        <v>0</v>
      </c>
      <c r="AN6" s="86">
        <v>47</v>
      </c>
      <c r="AO6" s="86">
        <v>25</v>
      </c>
      <c r="AP6" s="86">
        <v>0</v>
      </c>
      <c r="AQ6" s="87">
        <v>67</v>
      </c>
      <c r="AR6" s="87">
        <v>18</v>
      </c>
      <c r="AS6" s="87">
        <v>0</v>
      </c>
      <c r="AT6" s="88">
        <v>70</v>
      </c>
      <c r="AU6" s="88">
        <v>25</v>
      </c>
      <c r="AV6" s="88">
        <v>0</v>
      </c>
      <c r="AW6" s="89">
        <v>55</v>
      </c>
      <c r="AX6" s="89">
        <v>29</v>
      </c>
      <c r="AY6" s="89">
        <v>0</v>
      </c>
      <c r="AZ6" s="90">
        <v>60</v>
      </c>
      <c r="BA6" s="90">
        <v>37</v>
      </c>
      <c r="BB6" s="90">
        <v>0</v>
      </c>
      <c r="BC6" s="82">
        <v>49</v>
      </c>
      <c r="BD6" s="82">
        <v>43</v>
      </c>
      <c r="BE6" s="82">
        <v>0</v>
      </c>
      <c r="BF6" s="84">
        <v>56</v>
      </c>
      <c r="BG6" s="84">
        <v>34</v>
      </c>
      <c r="BH6" s="84">
        <v>0</v>
      </c>
      <c r="BI6" s="85">
        <v>64</v>
      </c>
      <c r="BJ6" s="85">
        <v>54</v>
      </c>
      <c r="BK6" s="85">
        <v>0</v>
      </c>
      <c r="BL6" s="83">
        <v>85</v>
      </c>
      <c r="BM6" s="83">
        <v>68</v>
      </c>
      <c r="BN6" s="83">
        <v>0</v>
      </c>
      <c r="BO6" s="91">
        <v>93</v>
      </c>
      <c r="BP6" s="91">
        <v>70</v>
      </c>
      <c r="BQ6" s="91">
        <v>0</v>
      </c>
      <c r="BR6" s="86">
        <v>112</v>
      </c>
      <c r="BS6" s="86">
        <v>84</v>
      </c>
      <c r="BT6" s="86">
        <v>0</v>
      </c>
      <c r="BU6" s="92">
        <v>103</v>
      </c>
      <c r="BV6" s="92">
        <v>73</v>
      </c>
      <c r="BW6" s="92">
        <v>0</v>
      </c>
      <c r="BX6" s="91">
        <v>104</v>
      </c>
      <c r="BY6" s="91">
        <v>95</v>
      </c>
      <c r="BZ6" s="91">
        <v>0</v>
      </c>
      <c r="CA6" s="84">
        <v>115</v>
      </c>
      <c r="CB6" s="84">
        <v>110</v>
      </c>
      <c r="CC6" s="84">
        <v>0</v>
      </c>
      <c r="CD6" s="93">
        <v>74</v>
      </c>
      <c r="CE6" s="93">
        <v>75</v>
      </c>
      <c r="CF6" s="93">
        <v>0</v>
      </c>
      <c r="CG6" s="94">
        <v>40</v>
      </c>
      <c r="CH6" s="94">
        <v>53</v>
      </c>
      <c r="CI6" s="94">
        <v>0</v>
      </c>
      <c r="CJ6" s="90">
        <v>20</v>
      </c>
      <c r="CK6" s="90">
        <v>44</v>
      </c>
      <c r="CL6" s="90">
        <v>0</v>
      </c>
      <c r="CM6" s="83">
        <v>8</v>
      </c>
      <c r="CN6" s="83">
        <v>9</v>
      </c>
      <c r="CO6" s="83">
        <v>0</v>
      </c>
      <c r="CP6" s="91">
        <v>0</v>
      </c>
      <c r="CQ6" s="91">
        <v>0</v>
      </c>
      <c r="CR6" s="91">
        <v>0</v>
      </c>
    </row>
    <row r="7" spans="1:96" ht="28">
      <c r="A7" s="79"/>
      <c r="B7" s="79" t="s">
        <v>80</v>
      </c>
      <c r="C7" s="77">
        <v>2024</v>
      </c>
      <c r="D7" s="77">
        <v>1129</v>
      </c>
      <c r="E7" s="77">
        <v>895</v>
      </c>
      <c r="F7" s="77">
        <v>0</v>
      </c>
      <c r="G7" s="77">
        <v>1</v>
      </c>
      <c r="H7" s="77">
        <v>2</v>
      </c>
      <c r="I7" s="77">
        <v>0</v>
      </c>
      <c r="J7" s="77">
        <v>15</v>
      </c>
      <c r="K7" s="77">
        <v>12</v>
      </c>
      <c r="L7" s="77">
        <v>0</v>
      </c>
      <c r="M7" s="77">
        <v>33</v>
      </c>
      <c r="N7" s="77">
        <v>23</v>
      </c>
      <c r="O7" s="77">
        <v>0</v>
      </c>
      <c r="P7" s="77">
        <v>19</v>
      </c>
      <c r="Q7" s="77">
        <v>24</v>
      </c>
      <c r="R7" s="77">
        <v>0</v>
      </c>
      <c r="S7" s="77">
        <v>0</v>
      </c>
      <c r="T7" s="77">
        <v>0</v>
      </c>
      <c r="U7" s="77">
        <v>0</v>
      </c>
      <c r="V7" s="77">
        <v>29</v>
      </c>
      <c r="W7" s="77">
        <v>37</v>
      </c>
      <c r="X7" s="77">
        <v>0</v>
      </c>
      <c r="Y7" s="77">
        <v>25</v>
      </c>
      <c r="Z7" s="77">
        <v>14</v>
      </c>
      <c r="AA7" s="77">
        <v>0</v>
      </c>
      <c r="AB7" s="77">
        <v>27</v>
      </c>
      <c r="AC7" s="77">
        <v>9</v>
      </c>
      <c r="AD7" s="77">
        <v>0</v>
      </c>
      <c r="AE7" s="77">
        <v>17</v>
      </c>
      <c r="AF7" s="77">
        <v>12</v>
      </c>
      <c r="AG7" s="77">
        <v>0</v>
      </c>
      <c r="AH7" s="77">
        <v>8</v>
      </c>
      <c r="AI7" s="77">
        <v>3</v>
      </c>
      <c r="AJ7" s="77">
        <v>0</v>
      </c>
      <c r="AK7" s="77">
        <v>7</v>
      </c>
      <c r="AL7" s="77">
        <v>13</v>
      </c>
      <c r="AM7" s="77">
        <v>0</v>
      </c>
      <c r="AN7" s="77">
        <v>35</v>
      </c>
      <c r="AO7" s="77">
        <v>15</v>
      </c>
      <c r="AP7" s="77">
        <v>0</v>
      </c>
      <c r="AQ7" s="77">
        <v>48</v>
      </c>
      <c r="AR7" s="77">
        <v>12</v>
      </c>
      <c r="AS7" s="77">
        <v>0</v>
      </c>
      <c r="AT7" s="77">
        <v>58</v>
      </c>
      <c r="AU7" s="77">
        <v>19</v>
      </c>
      <c r="AV7" s="77">
        <v>0</v>
      </c>
      <c r="AW7" s="77">
        <v>36</v>
      </c>
      <c r="AX7" s="77">
        <v>17</v>
      </c>
      <c r="AY7" s="77">
        <v>0</v>
      </c>
      <c r="AZ7" s="77">
        <v>44</v>
      </c>
      <c r="BA7" s="77">
        <v>29</v>
      </c>
      <c r="BB7" s="77">
        <v>0</v>
      </c>
      <c r="BC7" s="77">
        <v>33</v>
      </c>
      <c r="BD7" s="77">
        <v>36</v>
      </c>
      <c r="BE7" s="77">
        <v>0</v>
      </c>
      <c r="BF7" s="77">
        <v>39</v>
      </c>
      <c r="BG7" s="77">
        <v>24</v>
      </c>
      <c r="BH7" s="77">
        <v>0</v>
      </c>
      <c r="BI7" s="77">
        <v>50</v>
      </c>
      <c r="BJ7" s="77">
        <v>39</v>
      </c>
      <c r="BK7" s="77">
        <v>0</v>
      </c>
      <c r="BL7" s="77">
        <v>65</v>
      </c>
      <c r="BM7" s="77">
        <v>53</v>
      </c>
      <c r="BN7" s="77">
        <v>0</v>
      </c>
      <c r="BO7" s="77">
        <v>77</v>
      </c>
      <c r="BP7" s="77">
        <v>57</v>
      </c>
      <c r="BQ7" s="77">
        <v>0</v>
      </c>
      <c r="BR7" s="77">
        <v>98</v>
      </c>
      <c r="BS7" s="77">
        <v>67</v>
      </c>
      <c r="BT7" s="77">
        <v>0</v>
      </c>
      <c r="BU7" s="77">
        <v>83</v>
      </c>
      <c r="BV7" s="77">
        <v>58</v>
      </c>
      <c r="BW7" s="77">
        <v>0</v>
      </c>
      <c r="BX7" s="77">
        <v>76</v>
      </c>
      <c r="BY7" s="77">
        <v>77</v>
      </c>
      <c r="BZ7" s="77">
        <v>0</v>
      </c>
      <c r="CA7" s="77">
        <v>86</v>
      </c>
      <c r="CB7" s="77">
        <v>92</v>
      </c>
      <c r="CC7" s="77">
        <v>0</v>
      </c>
      <c r="CD7" s="77">
        <v>64</v>
      </c>
      <c r="CE7" s="77">
        <v>62</v>
      </c>
      <c r="CF7" s="77">
        <v>0</v>
      </c>
      <c r="CG7" s="77">
        <v>34</v>
      </c>
      <c r="CH7" s="77">
        <v>48</v>
      </c>
      <c r="CI7" s="77">
        <v>0</v>
      </c>
      <c r="CJ7" s="77">
        <v>17</v>
      </c>
      <c r="CK7" s="77">
        <v>35</v>
      </c>
      <c r="CL7" s="77">
        <v>0</v>
      </c>
      <c r="CM7" s="77">
        <v>5</v>
      </c>
      <c r="CN7" s="77">
        <v>6</v>
      </c>
      <c r="CO7" s="77">
        <v>0</v>
      </c>
      <c r="CP7" s="77">
        <v>0</v>
      </c>
      <c r="CQ7" s="77">
        <v>0</v>
      </c>
      <c r="CR7" s="77">
        <v>0</v>
      </c>
    </row>
    <row r="8" spans="1:96" ht="28">
      <c r="A8" s="78"/>
      <c r="B8" s="78" t="s">
        <v>81</v>
      </c>
      <c r="C8" s="76">
        <v>234</v>
      </c>
      <c r="D8" s="76">
        <v>139</v>
      </c>
      <c r="E8" s="76">
        <v>95</v>
      </c>
      <c r="F8" s="76">
        <v>0</v>
      </c>
      <c r="G8" s="76">
        <v>0</v>
      </c>
      <c r="H8" s="76">
        <v>1</v>
      </c>
      <c r="I8" s="76">
        <v>0</v>
      </c>
      <c r="J8" s="76">
        <v>5</v>
      </c>
      <c r="K8" s="76">
        <v>1</v>
      </c>
      <c r="L8" s="76">
        <v>0</v>
      </c>
      <c r="M8" s="76">
        <v>1</v>
      </c>
      <c r="N8" s="76">
        <v>3</v>
      </c>
      <c r="O8" s="76">
        <v>0</v>
      </c>
      <c r="P8" s="76">
        <v>0</v>
      </c>
      <c r="Q8" s="76">
        <v>2</v>
      </c>
      <c r="R8" s="76">
        <v>0</v>
      </c>
      <c r="S8" s="76">
        <v>0</v>
      </c>
      <c r="T8" s="76">
        <v>0</v>
      </c>
      <c r="U8" s="76">
        <v>0</v>
      </c>
      <c r="V8" s="76">
        <v>2</v>
      </c>
      <c r="W8" s="76">
        <v>2</v>
      </c>
      <c r="X8" s="76">
        <v>0</v>
      </c>
      <c r="Y8" s="76">
        <v>3</v>
      </c>
      <c r="Z8" s="76">
        <v>2</v>
      </c>
      <c r="AA8" s="76">
        <v>0</v>
      </c>
      <c r="AB8" s="76">
        <v>3</v>
      </c>
      <c r="AC8" s="76">
        <v>3</v>
      </c>
      <c r="AD8" s="76">
        <v>0</v>
      </c>
      <c r="AE8" s="76">
        <v>4</v>
      </c>
      <c r="AF8" s="76">
        <v>2</v>
      </c>
      <c r="AG8" s="76">
        <v>0</v>
      </c>
      <c r="AH8" s="76">
        <v>3</v>
      </c>
      <c r="AI8" s="76">
        <v>3</v>
      </c>
      <c r="AJ8" s="76">
        <v>0</v>
      </c>
      <c r="AK8" s="76">
        <v>2</v>
      </c>
      <c r="AL8" s="76">
        <v>2</v>
      </c>
      <c r="AM8" s="76">
        <v>0</v>
      </c>
      <c r="AN8" s="76">
        <v>5</v>
      </c>
      <c r="AO8" s="76">
        <v>2</v>
      </c>
      <c r="AP8" s="76">
        <v>0</v>
      </c>
      <c r="AQ8" s="76">
        <v>4</v>
      </c>
      <c r="AR8" s="76">
        <v>2</v>
      </c>
      <c r="AS8" s="76">
        <v>0</v>
      </c>
      <c r="AT8" s="76">
        <v>6</v>
      </c>
      <c r="AU8" s="76">
        <v>1</v>
      </c>
      <c r="AV8" s="76">
        <v>0</v>
      </c>
      <c r="AW8" s="76">
        <v>6</v>
      </c>
      <c r="AX8" s="76">
        <v>4</v>
      </c>
      <c r="AY8" s="76">
        <v>0</v>
      </c>
      <c r="AZ8" s="76">
        <v>4</v>
      </c>
      <c r="BA8" s="76">
        <v>4</v>
      </c>
      <c r="BB8" s="76">
        <v>0</v>
      </c>
      <c r="BC8" s="76">
        <v>8</v>
      </c>
      <c r="BD8" s="76">
        <v>4</v>
      </c>
      <c r="BE8" s="76">
        <v>0</v>
      </c>
      <c r="BF8" s="76">
        <v>4</v>
      </c>
      <c r="BG8" s="76">
        <v>2</v>
      </c>
      <c r="BH8" s="76">
        <v>0</v>
      </c>
      <c r="BI8" s="76">
        <v>7</v>
      </c>
      <c r="BJ8" s="76">
        <v>7</v>
      </c>
      <c r="BK8" s="76">
        <v>0</v>
      </c>
      <c r="BL8" s="76">
        <v>11</v>
      </c>
      <c r="BM8" s="76">
        <v>3</v>
      </c>
      <c r="BN8" s="76">
        <v>0</v>
      </c>
      <c r="BO8" s="76">
        <v>7</v>
      </c>
      <c r="BP8" s="76">
        <v>5</v>
      </c>
      <c r="BQ8" s="76">
        <v>0</v>
      </c>
      <c r="BR8" s="76">
        <v>6</v>
      </c>
      <c r="BS8" s="76">
        <v>4</v>
      </c>
      <c r="BT8" s="76">
        <v>0</v>
      </c>
      <c r="BU8" s="76">
        <v>6</v>
      </c>
      <c r="BV8" s="76">
        <v>7</v>
      </c>
      <c r="BW8" s="76">
        <v>0</v>
      </c>
      <c r="BX8" s="76">
        <v>13</v>
      </c>
      <c r="BY8" s="76">
        <v>6</v>
      </c>
      <c r="BZ8" s="76">
        <v>0</v>
      </c>
      <c r="CA8" s="76">
        <v>16</v>
      </c>
      <c r="CB8" s="76">
        <v>7</v>
      </c>
      <c r="CC8" s="76">
        <v>0</v>
      </c>
      <c r="CD8" s="76">
        <v>6</v>
      </c>
      <c r="CE8" s="76">
        <v>8</v>
      </c>
      <c r="CF8" s="76">
        <v>0</v>
      </c>
      <c r="CG8" s="76">
        <v>5</v>
      </c>
      <c r="CH8" s="76">
        <v>4</v>
      </c>
      <c r="CI8" s="76">
        <v>0</v>
      </c>
      <c r="CJ8" s="76">
        <v>1</v>
      </c>
      <c r="CK8" s="76">
        <v>3</v>
      </c>
      <c r="CL8" s="76">
        <v>0</v>
      </c>
      <c r="CM8" s="76">
        <v>1</v>
      </c>
      <c r="CN8" s="76">
        <v>1</v>
      </c>
      <c r="CO8" s="76">
        <v>0</v>
      </c>
      <c r="CP8" s="76">
        <v>0</v>
      </c>
      <c r="CQ8" s="76">
        <v>0</v>
      </c>
      <c r="CR8" s="76">
        <v>0</v>
      </c>
    </row>
    <row r="9" spans="1:96" ht="28">
      <c r="A9" s="79"/>
      <c r="B9" s="79" t="s">
        <v>5</v>
      </c>
      <c r="C9" s="77">
        <v>495</v>
      </c>
      <c r="D9" s="77">
        <v>272</v>
      </c>
      <c r="E9" s="77">
        <v>223</v>
      </c>
      <c r="F9" s="77">
        <v>0</v>
      </c>
      <c r="G9" s="77">
        <v>1</v>
      </c>
      <c r="H9" s="77">
        <v>2</v>
      </c>
      <c r="I9" s="77">
        <v>0</v>
      </c>
      <c r="J9" s="77">
        <v>14</v>
      </c>
      <c r="K9" s="77">
        <v>5</v>
      </c>
      <c r="L9" s="77">
        <v>0</v>
      </c>
      <c r="M9" s="77">
        <v>15</v>
      </c>
      <c r="N9" s="77">
        <v>7</v>
      </c>
      <c r="O9" s="77">
        <v>0</v>
      </c>
      <c r="P9" s="77">
        <v>9</v>
      </c>
      <c r="Q9" s="77">
        <v>9</v>
      </c>
      <c r="R9" s="77">
        <v>0</v>
      </c>
      <c r="S9" s="77">
        <v>0</v>
      </c>
      <c r="T9" s="77">
        <v>0</v>
      </c>
      <c r="U9" s="77">
        <v>0</v>
      </c>
      <c r="V9" s="77">
        <v>21</v>
      </c>
      <c r="W9" s="77">
        <v>24</v>
      </c>
      <c r="X9" s="77">
        <v>0</v>
      </c>
      <c r="Y9" s="77">
        <v>23</v>
      </c>
      <c r="Z9" s="77">
        <v>13</v>
      </c>
      <c r="AA9" s="77">
        <v>0</v>
      </c>
      <c r="AB9" s="77">
        <v>13</v>
      </c>
      <c r="AC9" s="77">
        <v>16</v>
      </c>
      <c r="AD9" s="77">
        <v>0</v>
      </c>
      <c r="AE9" s="77">
        <v>12</v>
      </c>
      <c r="AF9" s="77">
        <v>14</v>
      </c>
      <c r="AG9" s="77">
        <v>0</v>
      </c>
      <c r="AH9" s="77">
        <v>9</v>
      </c>
      <c r="AI9" s="77">
        <v>4</v>
      </c>
      <c r="AJ9" s="77">
        <v>0</v>
      </c>
      <c r="AK9" s="77">
        <v>3</v>
      </c>
      <c r="AL9" s="77">
        <v>3</v>
      </c>
      <c r="AM9" s="77">
        <v>0</v>
      </c>
      <c r="AN9" s="77">
        <v>7</v>
      </c>
      <c r="AO9" s="77">
        <v>8</v>
      </c>
      <c r="AP9" s="77">
        <v>0</v>
      </c>
      <c r="AQ9" s="77">
        <v>15</v>
      </c>
      <c r="AR9" s="77">
        <v>4</v>
      </c>
      <c r="AS9" s="77">
        <v>0</v>
      </c>
      <c r="AT9" s="77">
        <v>4</v>
      </c>
      <c r="AU9" s="77">
        <v>5</v>
      </c>
      <c r="AV9" s="77">
        <v>0</v>
      </c>
      <c r="AW9" s="77">
        <v>11</v>
      </c>
      <c r="AX9" s="77">
        <v>8</v>
      </c>
      <c r="AY9" s="77">
        <v>0</v>
      </c>
      <c r="AZ9" s="77">
        <v>12</v>
      </c>
      <c r="BA9" s="77">
        <v>4</v>
      </c>
      <c r="BB9" s="77">
        <v>0</v>
      </c>
      <c r="BC9" s="77">
        <v>7</v>
      </c>
      <c r="BD9" s="77">
        <v>3</v>
      </c>
      <c r="BE9" s="77">
        <v>0</v>
      </c>
      <c r="BF9" s="77">
        <v>12</v>
      </c>
      <c r="BG9" s="77">
        <v>8</v>
      </c>
      <c r="BH9" s="77">
        <v>0</v>
      </c>
      <c r="BI9" s="77">
        <v>7</v>
      </c>
      <c r="BJ9" s="77">
        <v>8</v>
      </c>
      <c r="BK9" s="77">
        <v>0</v>
      </c>
      <c r="BL9" s="77">
        <v>9</v>
      </c>
      <c r="BM9" s="77">
        <v>12</v>
      </c>
      <c r="BN9" s="77">
        <v>0</v>
      </c>
      <c r="BO9" s="77">
        <v>9</v>
      </c>
      <c r="BP9" s="77">
        <v>8</v>
      </c>
      <c r="BQ9" s="77">
        <v>0</v>
      </c>
      <c r="BR9" s="77">
        <v>8</v>
      </c>
      <c r="BS9" s="77">
        <v>13</v>
      </c>
      <c r="BT9" s="77">
        <v>0</v>
      </c>
      <c r="BU9" s="77">
        <v>14</v>
      </c>
      <c r="BV9" s="77">
        <v>8</v>
      </c>
      <c r="BW9" s="77">
        <v>0</v>
      </c>
      <c r="BX9" s="77">
        <v>15</v>
      </c>
      <c r="BY9" s="77">
        <v>12</v>
      </c>
      <c r="BZ9" s="77">
        <v>0</v>
      </c>
      <c r="CA9" s="77">
        <v>13</v>
      </c>
      <c r="CB9" s="77">
        <v>11</v>
      </c>
      <c r="CC9" s="77">
        <v>0</v>
      </c>
      <c r="CD9" s="77">
        <v>4</v>
      </c>
      <c r="CE9" s="77">
        <v>5</v>
      </c>
      <c r="CF9" s="77">
        <v>0</v>
      </c>
      <c r="CG9" s="77">
        <v>1</v>
      </c>
      <c r="CH9" s="77">
        <v>1</v>
      </c>
      <c r="CI9" s="77">
        <v>0</v>
      </c>
      <c r="CJ9" s="77">
        <v>2</v>
      </c>
      <c r="CK9" s="77">
        <v>6</v>
      </c>
      <c r="CL9" s="77">
        <v>0</v>
      </c>
      <c r="CM9" s="77">
        <v>2</v>
      </c>
      <c r="CN9" s="77">
        <v>2</v>
      </c>
      <c r="CO9" s="77">
        <v>0</v>
      </c>
      <c r="CP9" s="77">
        <v>0</v>
      </c>
      <c r="CQ9" s="77">
        <v>0</v>
      </c>
      <c r="CR9" s="77">
        <v>0</v>
      </c>
    </row>
    <row r="10" spans="1:96" ht="28">
      <c r="A10" s="78"/>
      <c r="B10" s="78" t="s">
        <v>82</v>
      </c>
      <c r="C10" s="76">
        <v>6</v>
      </c>
      <c r="D10" s="76">
        <v>6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  <c r="AC10" s="76">
        <v>0</v>
      </c>
      <c r="AD10" s="76">
        <v>0</v>
      </c>
      <c r="AE10" s="76">
        <v>0</v>
      </c>
      <c r="AF10" s="76">
        <v>0</v>
      </c>
      <c r="AG10" s="76">
        <v>0</v>
      </c>
      <c r="AH10" s="76">
        <v>0</v>
      </c>
      <c r="AI10" s="76">
        <v>0</v>
      </c>
      <c r="AJ10" s="76">
        <v>0</v>
      </c>
      <c r="AK10" s="76">
        <v>0</v>
      </c>
      <c r="AL10" s="76">
        <v>0</v>
      </c>
      <c r="AM10" s="76">
        <v>0</v>
      </c>
      <c r="AN10" s="76">
        <v>0</v>
      </c>
      <c r="AO10" s="76">
        <v>0</v>
      </c>
      <c r="AP10" s="76">
        <v>0</v>
      </c>
      <c r="AQ10" s="76">
        <v>0</v>
      </c>
      <c r="AR10" s="76">
        <v>0</v>
      </c>
      <c r="AS10" s="76">
        <v>0</v>
      </c>
      <c r="AT10" s="76">
        <v>2</v>
      </c>
      <c r="AU10" s="76">
        <v>0</v>
      </c>
      <c r="AV10" s="76">
        <v>0</v>
      </c>
      <c r="AW10" s="76">
        <v>2</v>
      </c>
      <c r="AX10" s="76">
        <v>0</v>
      </c>
      <c r="AY10" s="76">
        <v>0</v>
      </c>
      <c r="AZ10" s="76">
        <v>0</v>
      </c>
      <c r="BA10" s="76">
        <v>0</v>
      </c>
      <c r="BB10" s="76">
        <v>0</v>
      </c>
      <c r="BC10" s="76">
        <v>1</v>
      </c>
      <c r="BD10" s="76">
        <v>0</v>
      </c>
      <c r="BE10" s="76">
        <v>0</v>
      </c>
      <c r="BF10" s="76">
        <v>1</v>
      </c>
      <c r="BG10" s="76">
        <v>0</v>
      </c>
      <c r="BH10" s="76">
        <v>0</v>
      </c>
      <c r="BI10" s="76">
        <v>0</v>
      </c>
      <c r="BJ10" s="76">
        <v>0</v>
      </c>
      <c r="BK10" s="76">
        <v>0</v>
      </c>
      <c r="BL10" s="76">
        <v>0</v>
      </c>
      <c r="BM10" s="76">
        <v>0</v>
      </c>
      <c r="BN10" s="76">
        <v>0</v>
      </c>
      <c r="BO10" s="76">
        <v>0</v>
      </c>
      <c r="BP10" s="76">
        <v>0</v>
      </c>
      <c r="BQ10" s="76">
        <v>0</v>
      </c>
      <c r="BR10" s="76">
        <v>0</v>
      </c>
      <c r="BS10" s="76">
        <v>0</v>
      </c>
      <c r="BT10" s="76">
        <v>0</v>
      </c>
      <c r="BU10" s="76">
        <v>0</v>
      </c>
      <c r="BV10" s="76">
        <v>0</v>
      </c>
      <c r="BW10" s="76">
        <v>0</v>
      </c>
      <c r="BX10" s="76">
        <v>0</v>
      </c>
      <c r="BY10" s="76">
        <v>0</v>
      </c>
      <c r="BZ10" s="76">
        <v>0</v>
      </c>
      <c r="CA10" s="76">
        <v>0</v>
      </c>
      <c r="CB10" s="76">
        <v>0</v>
      </c>
      <c r="CC10" s="76">
        <v>0</v>
      </c>
      <c r="CD10" s="76">
        <v>0</v>
      </c>
      <c r="CE10" s="76">
        <v>0</v>
      </c>
      <c r="CF10" s="76">
        <v>0</v>
      </c>
      <c r="CG10" s="76">
        <v>0</v>
      </c>
      <c r="CH10" s="76">
        <v>0</v>
      </c>
      <c r="CI10" s="76">
        <v>0</v>
      </c>
      <c r="CJ10" s="76">
        <v>0</v>
      </c>
      <c r="CK10" s="76">
        <v>0</v>
      </c>
      <c r="CL10" s="76">
        <v>0</v>
      </c>
      <c r="CM10" s="76">
        <v>0</v>
      </c>
      <c r="CN10" s="76">
        <v>0</v>
      </c>
      <c r="CO10" s="76">
        <v>0</v>
      </c>
      <c r="CP10" s="76">
        <v>0</v>
      </c>
      <c r="CQ10" s="76">
        <v>0</v>
      </c>
      <c r="CR10" s="76">
        <v>0</v>
      </c>
    </row>
    <row r="11" spans="1:96" ht="28">
      <c r="A11" s="75" t="s">
        <v>83</v>
      </c>
      <c r="B11" s="79" t="s">
        <v>45</v>
      </c>
      <c r="C11" s="77">
        <v>856</v>
      </c>
      <c r="D11" s="77">
        <v>498</v>
      </c>
      <c r="E11" s="77">
        <v>358</v>
      </c>
      <c r="F11" s="77">
        <v>0</v>
      </c>
      <c r="G11" s="82">
        <v>1</v>
      </c>
      <c r="H11" s="82">
        <v>2</v>
      </c>
      <c r="I11" s="82">
        <v>0</v>
      </c>
      <c r="J11" s="82">
        <v>17</v>
      </c>
      <c r="K11" s="82">
        <v>3</v>
      </c>
      <c r="L11" s="82">
        <v>0</v>
      </c>
      <c r="M11" s="82">
        <v>24</v>
      </c>
      <c r="N11" s="82">
        <v>10</v>
      </c>
      <c r="O11" s="82">
        <v>0</v>
      </c>
      <c r="P11" s="82">
        <v>12</v>
      </c>
      <c r="Q11" s="82">
        <v>8</v>
      </c>
      <c r="R11" s="82">
        <v>0</v>
      </c>
      <c r="S11" s="82">
        <v>0</v>
      </c>
      <c r="T11" s="82">
        <v>0</v>
      </c>
      <c r="U11" s="82">
        <v>0</v>
      </c>
      <c r="V11" s="82">
        <v>16</v>
      </c>
      <c r="W11" s="82">
        <v>17</v>
      </c>
      <c r="X11" s="82">
        <v>0</v>
      </c>
      <c r="Y11" s="82">
        <v>12</v>
      </c>
      <c r="Z11" s="82">
        <v>7</v>
      </c>
      <c r="AA11" s="82">
        <v>0</v>
      </c>
      <c r="AB11" s="83">
        <v>19</v>
      </c>
      <c r="AC11" s="83">
        <v>5</v>
      </c>
      <c r="AD11" s="83">
        <v>0</v>
      </c>
      <c r="AE11" s="83">
        <v>11</v>
      </c>
      <c r="AF11" s="83">
        <v>9</v>
      </c>
      <c r="AG11" s="83">
        <v>0</v>
      </c>
      <c r="AH11" s="84">
        <v>5</v>
      </c>
      <c r="AI11" s="84">
        <v>2</v>
      </c>
      <c r="AJ11" s="84">
        <v>0</v>
      </c>
      <c r="AK11" s="85">
        <v>5</v>
      </c>
      <c r="AL11" s="85">
        <v>4</v>
      </c>
      <c r="AM11" s="85">
        <v>0</v>
      </c>
      <c r="AN11" s="86">
        <v>18</v>
      </c>
      <c r="AO11" s="86">
        <v>9</v>
      </c>
      <c r="AP11" s="86">
        <v>0</v>
      </c>
      <c r="AQ11" s="87">
        <v>25</v>
      </c>
      <c r="AR11" s="87">
        <v>4</v>
      </c>
      <c r="AS11" s="87">
        <v>0</v>
      </c>
      <c r="AT11" s="88">
        <v>18</v>
      </c>
      <c r="AU11" s="88">
        <v>7</v>
      </c>
      <c r="AV11" s="88">
        <v>0</v>
      </c>
      <c r="AW11" s="89">
        <v>11</v>
      </c>
      <c r="AX11" s="89">
        <v>10</v>
      </c>
      <c r="AY11" s="89">
        <v>0</v>
      </c>
      <c r="AZ11" s="90">
        <v>19</v>
      </c>
      <c r="BA11" s="90">
        <v>10</v>
      </c>
      <c r="BB11" s="90">
        <v>0</v>
      </c>
      <c r="BC11" s="82">
        <v>11</v>
      </c>
      <c r="BD11" s="82">
        <v>9</v>
      </c>
      <c r="BE11" s="82">
        <v>0</v>
      </c>
      <c r="BF11" s="84">
        <v>17</v>
      </c>
      <c r="BG11" s="84">
        <v>11</v>
      </c>
      <c r="BH11" s="84">
        <v>0</v>
      </c>
      <c r="BI11" s="85">
        <v>21</v>
      </c>
      <c r="BJ11" s="85">
        <v>13</v>
      </c>
      <c r="BK11" s="85">
        <v>0</v>
      </c>
      <c r="BL11" s="83">
        <v>28</v>
      </c>
      <c r="BM11" s="83">
        <v>22</v>
      </c>
      <c r="BN11" s="83">
        <v>0</v>
      </c>
      <c r="BO11" s="91">
        <v>32</v>
      </c>
      <c r="BP11" s="91">
        <v>24</v>
      </c>
      <c r="BQ11" s="91">
        <v>0</v>
      </c>
      <c r="BR11" s="86">
        <v>34</v>
      </c>
      <c r="BS11" s="86">
        <v>34</v>
      </c>
      <c r="BT11" s="86">
        <v>0</v>
      </c>
      <c r="BU11" s="92">
        <v>32</v>
      </c>
      <c r="BV11" s="92">
        <v>26</v>
      </c>
      <c r="BW11" s="92">
        <v>0</v>
      </c>
      <c r="BX11" s="91">
        <v>34</v>
      </c>
      <c r="BY11" s="91">
        <v>34</v>
      </c>
      <c r="BZ11" s="91">
        <v>0</v>
      </c>
      <c r="CA11" s="84">
        <v>35</v>
      </c>
      <c r="CB11" s="84">
        <v>29</v>
      </c>
      <c r="CC11" s="84">
        <v>0</v>
      </c>
      <c r="CD11" s="93">
        <v>19</v>
      </c>
      <c r="CE11" s="93">
        <v>18</v>
      </c>
      <c r="CF11" s="93">
        <v>0</v>
      </c>
      <c r="CG11" s="94">
        <v>13</v>
      </c>
      <c r="CH11" s="94">
        <v>19</v>
      </c>
      <c r="CI11" s="94">
        <v>0</v>
      </c>
      <c r="CJ11" s="90">
        <v>6</v>
      </c>
      <c r="CK11" s="90">
        <v>10</v>
      </c>
      <c r="CL11" s="90">
        <v>0</v>
      </c>
      <c r="CM11" s="83">
        <v>3</v>
      </c>
      <c r="CN11" s="83">
        <v>2</v>
      </c>
      <c r="CO11" s="83">
        <v>0</v>
      </c>
      <c r="CP11" s="91">
        <v>0</v>
      </c>
      <c r="CQ11" s="91">
        <v>0</v>
      </c>
      <c r="CR11" s="91">
        <v>0</v>
      </c>
    </row>
    <row r="12" spans="1:96" ht="28">
      <c r="A12" s="78"/>
      <c r="B12" s="78" t="s">
        <v>80</v>
      </c>
      <c r="C12" s="76">
        <v>658</v>
      </c>
      <c r="D12" s="76">
        <v>390</v>
      </c>
      <c r="E12" s="76">
        <v>268</v>
      </c>
      <c r="F12" s="76">
        <v>0</v>
      </c>
      <c r="G12" s="76">
        <v>0</v>
      </c>
      <c r="H12" s="76">
        <v>1</v>
      </c>
      <c r="I12" s="76">
        <v>0</v>
      </c>
      <c r="J12" s="76">
        <v>9</v>
      </c>
      <c r="K12" s="76">
        <v>0</v>
      </c>
      <c r="L12" s="76">
        <v>0</v>
      </c>
      <c r="M12" s="76">
        <v>16</v>
      </c>
      <c r="N12" s="76">
        <v>6</v>
      </c>
      <c r="O12" s="76">
        <v>0</v>
      </c>
      <c r="P12" s="76">
        <v>8</v>
      </c>
      <c r="Q12" s="76">
        <v>5</v>
      </c>
      <c r="R12" s="76">
        <v>0</v>
      </c>
      <c r="S12" s="76">
        <v>0</v>
      </c>
      <c r="T12" s="76">
        <v>0</v>
      </c>
      <c r="U12" s="76">
        <v>0</v>
      </c>
      <c r="V12" s="76">
        <v>10</v>
      </c>
      <c r="W12" s="76">
        <v>9</v>
      </c>
      <c r="X12" s="76">
        <v>0</v>
      </c>
      <c r="Y12" s="76">
        <v>4</v>
      </c>
      <c r="Z12" s="76">
        <v>1</v>
      </c>
      <c r="AA12" s="76">
        <v>0</v>
      </c>
      <c r="AB12" s="76">
        <v>10</v>
      </c>
      <c r="AC12" s="76">
        <v>0</v>
      </c>
      <c r="AD12" s="76">
        <v>0</v>
      </c>
      <c r="AE12" s="76">
        <v>5</v>
      </c>
      <c r="AF12" s="76">
        <v>1</v>
      </c>
      <c r="AG12" s="76">
        <v>0</v>
      </c>
      <c r="AH12" s="76">
        <v>4</v>
      </c>
      <c r="AI12" s="76">
        <v>1</v>
      </c>
      <c r="AJ12" s="76">
        <v>0</v>
      </c>
      <c r="AK12" s="76">
        <v>2</v>
      </c>
      <c r="AL12" s="76">
        <v>4</v>
      </c>
      <c r="AM12" s="76">
        <v>0</v>
      </c>
      <c r="AN12" s="76">
        <v>15</v>
      </c>
      <c r="AO12" s="76">
        <v>6</v>
      </c>
      <c r="AP12" s="76">
        <v>0</v>
      </c>
      <c r="AQ12" s="76">
        <v>19</v>
      </c>
      <c r="AR12" s="76">
        <v>2</v>
      </c>
      <c r="AS12" s="76">
        <v>0</v>
      </c>
      <c r="AT12" s="76">
        <v>17</v>
      </c>
      <c r="AU12" s="76">
        <v>6</v>
      </c>
      <c r="AV12" s="76">
        <v>0</v>
      </c>
      <c r="AW12" s="76">
        <v>9</v>
      </c>
      <c r="AX12" s="76">
        <v>6</v>
      </c>
      <c r="AY12" s="76">
        <v>0</v>
      </c>
      <c r="AZ12" s="76">
        <v>18</v>
      </c>
      <c r="BA12" s="76">
        <v>8</v>
      </c>
      <c r="BB12" s="76">
        <v>0</v>
      </c>
      <c r="BC12" s="76">
        <v>7</v>
      </c>
      <c r="BD12" s="76">
        <v>8</v>
      </c>
      <c r="BE12" s="76">
        <v>0</v>
      </c>
      <c r="BF12" s="76">
        <v>15</v>
      </c>
      <c r="BG12" s="76">
        <v>9</v>
      </c>
      <c r="BH12" s="76">
        <v>0</v>
      </c>
      <c r="BI12" s="76">
        <v>20</v>
      </c>
      <c r="BJ12" s="76">
        <v>10</v>
      </c>
      <c r="BK12" s="76">
        <v>0</v>
      </c>
      <c r="BL12" s="76">
        <v>21</v>
      </c>
      <c r="BM12" s="76">
        <v>16</v>
      </c>
      <c r="BN12" s="76">
        <v>0</v>
      </c>
      <c r="BO12" s="76">
        <v>29</v>
      </c>
      <c r="BP12" s="76">
        <v>21</v>
      </c>
      <c r="BQ12" s="76">
        <v>0</v>
      </c>
      <c r="BR12" s="76">
        <v>31</v>
      </c>
      <c r="BS12" s="76">
        <v>30</v>
      </c>
      <c r="BT12" s="76">
        <v>0</v>
      </c>
      <c r="BU12" s="76">
        <v>29</v>
      </c>
      <c r="BV12" s="76">
        <v>21</v>
      </c>
      <c r="BW12" s="76">
        <v>0</v>
      </c>
      <c r="BX12" s="76">
        <v>25</v>
      </c>
      <c r="BY12" s="76">
        <v>30</v>
      </c>
      <c r="BZ12" s="76">
        <v>0</v>
      </c>
      <c r="CA12" s="76">
        <v>31</v>
      </c>
      <c r="CB12" s="76">
        <v>24</v>
      </c>
      <c r="CC12" s="76">
        <v>0</v>
      </c>
      <c r="CD12" s="76">
        <v>17</v>
      </c>
      <c r="CE12" s="76">
        <v>15</v>
      </c>
      <c r="CF12" s="76">
        <v>0</v>
      </c>
      <c r="CG12" s="76">
        <v>12</v>
      </c>
      <c r="CH12" s="76">
        <v>18</v>
      </c>
      <c r="CI12" s="76">
        <v>0</v>
      </c>
      <c r="CJ12" s="76">
        <v>6</v>
      </c>
      <c r="CK12" s="76">
        <v>9</v>
      </c>
      <c r="CL12" s="76">
        <v>0</v>
      </c>
      <c r="CM12" s="76">
        <v>1</v>
      </c>
      <c r="CN12" s="76">
        <v>1</v>
      </c>
      <c r="CO12" s="76">
        <v>0</v>
      </c>
      <c r="CP12" s="76">
        <v>0</v>
      </c>
      <c r="CQ12" s="76">
        <v>0</v>
      </c>
      <c r="CR12" s="76">
        <v>0</v>
      </c>
    </row>
    <row r="13" spans="1:96" ht="28">
      <c r="A13" s="79"/>
      <c r="B13" s="79" t="s">
        <v>81</v>
      </c>
      <c r="C13" s="77">
        <v>60</v>
      </c>
      <c r="D13" s="77">
        <v>37</v>
      </c>
      <c r="E13" s="77">
        <v>23</v>
      </c>
      <c r="F13" s="77">
        <v>0</v>
      </c>
      <c r="G13" s="77">
        <v>0</v>
      </c>
      <c r="H13" s="77">
        <v>1</v>
      </c>
      <c r="I13" s="77">
        <v>0</v>
      </c>
      <c r="J13" s="77">
        <v>3</v>
      </c>
      <c r="K13" s="77">
        <v>0</v>
      </c>
      <c r="L13" s="77">
        <v>0</v>
      </c>
      <c r="M13" s="77">
        <v>0</v>
      </c>
      <c r="N13" s="77">
        <v>1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1</v>
      </c>
      <c r="W13" s="77">
        <v>0</v>
      </c>
      <c r="X13" s="77">
        <v>0</v>
      </c>
      <c r="Y13" s="77">
        <v>0</v>
      </c>
      <c r="Z13" s="77">
        <v>1</v>
      </c>
      <c r="AA13" s="77">
        <v>0</v>
      </c>
      <c r="AB13" s="77">
        <v>2</v>
      </c>
      <c r="AC13" s="77">
        <v>1</v>
      </c>
      <c r="AD13" s="77">
        <v>0</v>
      </c>
      <c r="AE13" s="77">
        <v>3</v>
      </c>
      <c r="AF13" s="77">
        <v>1</v>
      </c>
      <c r="AG13" s="77">
        <v>0</v>
      </c>
      <c r="AH13" s="77">
        <v>0</v>
      </c>
      <c r="AI13" s="77">
        <v>0</v>
      </c>
      <c r="AJ13" s="77">
        <v>0</v>
      </c>
      <c r="AK13" s="77">
        <v>2</v>
      </c>
      <c r="AL13" s="77">
        <v>0</v>
      </c>
      <c r="AM13" s="77">
        <v>0</v>
      </c>
      <c r="AN13" s="77">
        <v>2</v>
      </c>
      <c r="AO13" s="77">
        <v>0</v>
      </c>
      <c r="AP13" s="77">
        <v>0</v>
      </c>
      <c r="AQ13" s="77">
        <v>2</v>
      </c>
      <c r="AR13" s="77">
        <v>1</v>
      </c>
      <c r="AS13" s="77">
        <v>0</v>
      </c>
      <c r="AT13" s="77">
        <v>1</v>
      </c>
      <c r="AU13" s="77">
        <v>0</v>
      </c>
      <c r="AV13" s="77">
        <v>0</v>
      </c>
      <c r="AW13" s="77">
        <v>1</v>
      </c>
      <c r="AX13" s="77">
        <v>1</v>
      </c>
      <c r="AY13" s="77">
        <v>0</v>
      </c>
      <c r="AZ13" s="77">
        <v>1</v>
      </c>
      <c r="BA13" s="77">
        <v>2</v>
      </c>
      <c r="BB13" s="77">
        <v>0</v>
      </c>
      <c r="BC13" s="77">
        <v>2</v>
      </c>
      <c r="BD13" s="77">
        <v>1</v>
      </c>
      <c r="BE13" s="77">
        <v>0</v>
      </c>
      <c r="BF13" s="77">
        <v>0</v>
      </c>
      <c r="BG13" s="77">
        <v>0</v>
      </c>
      <c r="BH13" s="77">
        <v>0</v>
      </c>
      <c r="BI13" s="77">
        <v>1</v>
      </c>
      <c r="BJ13" s="77">
        <v>2</v>
      </c>
      <c r="BK13" s="77">
        <v>0</v>
      </c>
      <c r="BL13" s="77">
        <v>4</v>
      </c>
      <c r="BM13" s="77">
        <v>0</v>
      </c>
      <c r="BN13" s="77">
        <v>0</v>
      </c>
      <c r="BO13" s="77">
        <v>2</v>
      </c>
      <c r="BP13" s="77">
        <v>2</v>
      </c>
      <c r="BQ13" s="77">
        <v>0</v>
      </c>
      <c r="BR13" s="77">
        <v>2</v>
      </c>
      <c r="BS13" s="77">
        <v>0</v>
      </c>
      <c r="BT13" s="77">
        <v>0</v>
      </c>
      <c r="BU13" s="77">
        <v>1</v>
      </c>
      <c r="BV13" s="77">
        <v>3</v>
      </c>
      <c r="BW13" s="77">
        <v>0</v>
      </c>
      <c r="BX13" s="77">
        <v>4</v>
      </c>
      <c r="BY13" s="77">
        <v>0</v>
      </c>
      <c r="BZ13" s="77">
        <v>0</v>
      </c>
      <c r="CA13" s="77">
        <v>2</v>
      </c>
      <c r="CB13" s="77">
        <v>2</v>
      </c>
      <c r="CC13" s="77">
        <v>0</v>
      </c>
      <c r="CD13" s="77">
        <v>0</v>
      </c>
      <c r="CE13" s="77">
        <v>2</v>
      </c>
      <c r="CF13" s="77">
        <v>0</v>
      </c>
      <c r="CG13" s="77">
        <v>1</v>
      </c>
      <c r="CH13" s="77">
        <v>1</v>
      </c>
      <c r="CI13" s="77">
        <v>0</v>
      </c>
      <c r="CJ13" s="77">
        <v>0</v>
      </c>
      <c r="CK13" s="77">
        <v>1</v>
      </c>
      <c r="CL13" s="77">
        <v>0</v>
      </c>
      <c r="CM13" s="77">
        <v>0</v>
      </c>
      <c r="CN13" s="77">
        <v>0</v>
      </c>
      <c r="CO13" s="77">
        <v>0</v>
      </c>
      <c r="CP13" s="77">
        <v>0</v>
      </c>
      <c r="CQ13" s="77">
        <v>0</v>
      </c>
      <c r="CR13" s="77">
        <v>0</v>
      </c>
    </row>
    <row r="14" spans="1:96" ht="28">
      <c r="A14" s="78"/>
      <c r="B14" s="78" t="s">
        <v>5</v>
      </c>
      <c r="C14" s="76">
        <v>138</v>
      </c>
      <c r="D14" s="76">
        <v>71</v>
      </c>
      <c r="E14" s="76">
        <v>67</v>
      </c>
      <c r="F14" s="76">
        <v>0</v>
      </c>
      <c r="G14" s="76">
        <v>1</v>
      </c>
      <c r="H14" s="76">
        <v>0</v>
      </c>
      <c r="I14" s="76">
        <v>0</v>
      </c>
      <c r="J14" s="76">
        <v>5</v>
      </c>
      <c r="K14" s="76">
        <v>3</v>
      </c>
      <c r="L14" s="76">
        <v>0</v>
      </c>
      <c r="M14" s="76">
        <v>8</v>
      </c>
      <c r="N14" s="76">
        <v>3</v>
      </c>
      <c r="O14" s="76">
        <v>0</v>
      </c>
      <c r="P14" s="76">
        <v>4</v>
      </c>
      <c r="Q14" s="76">
        <v>3</v>
      </c>
      <c r="R14" s="76">
        <v>0</v>
      </c>
      <c r="S14" s="76">
        <v>0</v>
      </c>
      <c r="T14" s="76">
        <v>0</v>
      </c>
      <c r="U14" s="76">
        <v>0</v>
      </c>
      <c r="V14" s="76">
        <v>5</v>
      </c>
      <c r="W14" s="76">
        <v>8</v>
      </c>
      <c r="X14" s="76">
        <v>0</v>
      </c>
      <c r="Y14" s="76">
        <v>8</v>
      </c>
      <c r="Z14" s="76">
        <v>5</v>
      </c>
      <c r="AA14" s="76">
        <v>0</v>
      </c>
      <c r="AB14" s="76">
        <v>7</v>
      </c>
      <c r="AC14" s="76">
        <v>4</v>
      </c>
      <c r="AD14" s="76">
        <v>0</v>
      </c>
      <c r="AE14" s="76">
        <v>3</v>
      </c>
      <c r="AF14" s="76">
        <v>7</v>
      </c>
      <c r="AG14" s="76">
        <v>0</v>
      </c>
      <c r="AH14" s="76">
        <v>1</v>
      </c>
      <c r="AI14" s="76">
        <v>1</v>
      </c>
      <c r="AJ14" s="76">
        <v>0</v>
      </c>
      <c r="AK14" s="76">
        <v>1</v>
      </c>
      <c r="AL14" s="76">
        <v>0</v>
      </c>
      <c r="AM14" s="76">
        <v>0</v>
      </c>
      <c r="AN14" s="76">
        <v>1</v>
      </c>
      <c r="AO14" s="76">
        <v>3</v>
      </c>
      <c r="AP14" s="76">
        <v>0</v>
      </c>
      <c r="AQ14" s="76">
        <v>4</v>
      </c>
      <c r="AR14" s="76">
        <v>1</v>
      </c>
      <c r="AS14" s="76">
        <v>0</v>
      </c>
      <c r="AT14" s="76">
        <v>0</v>
      </c>
      <c r="AU14" s="76">
        <v>1</v>
      </c>
      <c r="AV14" s="76">
        <v>0</v>
      </c>
      <c r="AW14" s="76">
        <v>1</v>
      </c>
      <c r="AX14" s="76">
        <v>3</v>
      </c>
      <c r="AY14" s="76">
        <v>0</v>
      </c>
      <c r="AZ14" s="76">
        <v>0</v>
      </c>
      <c r="BA14" s="76">
        <v>0</v>
      </c>
      <c r="BB14" s="76">
        <v>0</v>
      </c>
      <c r="BC14" s="76">
        <v>2</v>
      </c>
      <c r="BD14" s="76">
        <v>0</v>
      </c>
      <c r="BE14" s="76">
        <v>0</v>
      </c>
      <c r="BF14" s="76">
        <v>2</v>
      </c>
      <c r="BG14" s="76">
        <v>2</v>
      </c>
      <c r="BH14" s="76">
        <v>0</v>
      </c>
      <c r="BI14" s="76">
        <v>0</v>
      </c>
      <c r="BJ14" s="76">
        <v>1</v>
      </c>
      <c r="BK14" s="76">
        <v>0</v>
      </c>
      <c r="BL14" s="76">
        <v>3</v>
      </c>
      <c r="BM14" s="76">
        <v>6</v>
      </c>
      <c r="BN14" s="76">
        <v>0</v>
      </c>
      <c r="BO14" s="76">
        <v>1</v>
      </c>
      <c r="BP14" s="76">
        <v>1</v>
      </c>
      <c r="BQ14" s="76">
        <v>0</v>
      </c>
      <c r="BR14" s="76">
        <v>1</v>
      </c>
      <c r="BS14" s="76">
        <v>4</v>
      </c>
      <c r="BT14" s="76">
        <v>0</v>
      </c>
      <c r="BU14" s="76">
        <v>2</v>
      </c>
      <c r="BV14" s="76">
        <v>2</v>
      </c>
      <c r="BW14" s="76">
        <v>0</v>
      </c>
      <c r="BX14" s="76">
        <v>5</v>
      </c>
      <c r="BY14" s="76">
        <v>4</v>
      </c>
      <c r="BZ14" s="76">
        <v>0</v>
      </c>
      <c r="CA14" s="76">
        <v>2</v>
      </c>
      <c r="CB14" s="76">
        <v>3</v>
      </c>
      <c r="CC14" s="76">
        <v>0</v>
      </c>
      <c r="CD14" s="76">
        <v>2</v>
      </c>
      <c r="CE14" s="76">
        <v>1</v>
      </c>
      <c r="CF14" s="76">
        <v>0</v>
      </c>
      <c r="CG14" s="76">
        <v>0</v>
      </c>
      <c r="CH14" s="76">
        <v>0</v>
      </c>
      <c r="CI14" s="76">
        <v>0</v>
      </c>
      <c r="CJ14" s="76">
        <v>0</v>
      </c>
      <c r="CK14" s="76">
        <v>0</v>
      </c>
      <c r="CL14" s="76">
        <v>0</v>
      </c>
      <c r="CM14" s="76">
        <v>2</v>
      </c>
      <c r="CN14" s="76">
        <v>1</v>
      </c>
      <c r="CO14" s="76">
        <v>0</v>
      </c>
      <c r="CP14" s="76">
        <v>0</v>
      </c>
      <c r="CQ14" s="76">
        <v>0</v>
      </c>
      <c r="CR14" s="76">
        <v>0</v>
      </c>
    </row>
    <row r="15" spans="1:96" ht="28">
      <c r="A15" s="79"/>
      <c r="B15" s="79" t="s">
        <v>82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  <c r="Z15" s="77">
        <v>0</v>
      </c>
      <c r="AA15" s="77">
        <v>0</v>
      </c>
      <c r="AB15" s="77">
        <v>0</v>
      </c>
      <c r="AC15" s="77">
        <v>0</v>
      </c>
      <c r="AD15" s="77">
        <v>0</v>
      </c>
      <c r="AE15" s="77">
        <v>0</v>
      </c>
      <c r="AF15" s="77">
        <v>0</v>
      </c>
      <c r="AG15" s="77">
        <v>0</v>
      </c>
      <c r="AH15" s="77">
        <v>0</v>
      </c>
      <c r="AI15" s="77">
        <v>0</v>
      </c>
      <c r="AJ15" s="77">
        <v>0</v>
      </c>
      <c r="AK15" s="77">
        <v>0</v>
      </c>
      <c r="AL15" s="77">
        <v>0</v>
      </c>
      <c r="AM15" s="77">
        <v>0</v>
      </c>
      <c r="AN15" s="77">
        <v>0</v>
      </c>
      <c r="AO15" s="77">
        <v>0</v>
      </c>
      <c r="AP15" s="77">
        <v>0</v>
      </c>
      <c r="AQ15" s="77">
        <v>0</v>
      </c>
      <c r="AR15" s="77">
        <v>0</v>
      </c>
      <c r="AS15" s="77">
        <v>0</v>
      </c>
      <c r="AT15" s="77">
        <v>0</v>
      </c>
      <c r="AU15" s="77">
        <v>0</v>
      </c>
      <c r="AV15" s="77">
        <v>0</v>
      </c>
      <c r="AW15" s="77">
        <v>0</v>
      </c>
      <c r="AX15" s="77">
        <v>0</v>
      </c>
      <c r="AY15" s="77">
        <v>0</v>
      </c>
      <c r="AZ15" s="77">
        <v>0</v>
      </c>
      <c r="BA15" s="77">
        <v>0</v>
      </c>
      <c r="BB15" s="77">
        <v>0</v>
      </c>
      <c r="BC15" s="77">
        <v>0</v>
      </c>
      <c r="BD15" s="77">
        <v>0</v>
      </c>
      <c r="BE15" s="77">
        <v>0</v>
      </c>
      <c r="BF15" s="77">
        <v>0</v>
      </c>
      <c r="BG15" s="77">
        <v>0</v>
      </c>
      <c r="BH15" s="77">
        <v>0</v>
      </c>
      <c r="BI15" s="77">
        <v>0</v>
      </c>
      <c r="BJ15" s="77">
        <v>0</v>
      </c>
      <c r="BK15" s="77">
        <v>0</v>
      </c>
      <c r="BL15" s="77">
        <v>0</v>
      </c>
      <c r="BM15" s="77">
        <v>0</v>
      </c>
      <c r="BN15" s="77">
        <v>0</v>
      </c>
      <c r="BO15" s="77">
        <v>0</v>
      </c>
      <c r="BP15" s="77">
        <v>0</v>
      </c>
      <c r="BQ15" s="77">
        <v>0</v>
      </c>
      <c r="BR15" s="77">
        <v>0</v>
      </c>
      <c r="BS15" s="77">
        <v>0</v>
      </c>
      <c r="BT15" s="77">
        <v>0</v>
      </c>
      <c r="BU15" s="77">
        <v>0</v>
      </c>
      <c r="BV15" s="77">
        <v>0</v>
      </c>
      <c r="BW15" s="77">
        <v>0</v>
      </c>
      <c r="BX15" s="77">
        <v>0</v>
      </c>
      <c r="BY15" s="77">
        <v>0</v>
      </c>
      <c r="BZ15" s="77">
        <v>0</v>
      </c>
      <c r="CA15" s="77">
        <v>0</v>
      </c>
      <c r="CB15" s="77">
        <v>0</v>
      </c>
      <c r="CC15" s="77">
        <v>0</v>
      </c>
      <c r="CD15" s="77">
        <v>0</v>
      </c>
      <c r="CE15" s="77">
        <v>0</v>
      </c>
      <c r="CF15" s="77">
        <v>0</v>
      </c>
      <c r="CG15" s="77">
        <v>0</v>
      </c>
      <c r="CH15" s="77">
        <v>0</v>
      </c>
      <c r="CI15" s="77">
        <v>0</v>
      </c>
      <c r="CJ15" s="77">
        <v>0</v>
      </c>
      <c r="CK15" s="77">
        <v>0</v>
      </c>
      <c r="CL15" s="77">
        <v>0</v>
      </c>
      <c r="CM15" s="77">
        <v>0</v>
      </c>
      <c r="CN15" s="77">
        <v>0</v>
      </c>
      <c r="CO15" s="77">
        <v>0</v>
      </c>
      <c r="CP15" s="77">
        <v>0</v>
      </c>
      <c r="CQ15" s="77">
        <v>0</v>
      </c>
      <c r="CR15" s="77">
        <v>0</v>
      </c>
    </row>
    <row r="17" spans="1:9">
      <c r="A17" s="345" t="s">
        <v>84</v>
      </c>
      <c r="B17" s="345"/>
      <c r="C17" s="80">
        <f>C6</f>
        <v>2759</v>
      </c>
      <c r="F17" s="345" t="s">
        <v>85</v>
      </c>
      <c r="G17" s="345"/>
      <c r="H17" s="345"/>
      <c r="I17" s="80">
        <f>D6</f>
        <v>1546</v>
      </c>
    </row>
    <row r="18" spans="1:9">
      <c r="A18" s="344" t="s">
        <v>86</v>
      </c>
      <c r="B18" s="344"/>
      <c r="C18" s="81">
        <f>C11</f>
        <v>856</v>
      </c>
      <c r="F18" s="344" t="s">
        <v>87</v>
      </c>
      <c r="G18" s="344"/>
      <c r="H18" s="344"/>
      <c r="I18" s="81">
        <f>E6</f>
        <v>1213</v>
      </c>
    </row>
    <row r="20" spans="1:9">
      <c r="F20" s="345" t="s">
        <v>88</v>
      </c>
      <c r="G20" s="345"/>
      <c r="H20" s="345"/>
      <c r="I20" s="80">
        <f>D11</f>
        <v>498</v>
      </c>
    </row>
    <row r="21" spans="1:9">
      <c r="F21" s="344" t="s">
        <v>89</v>
      </c>
      <c r="G21" s="344"/>
      <c r="H21" s="344"/>
      <c r="I21" s="81">
        <f>E11</f>
        <v>358</v>
      </c>
    </row>
  </sheetData>
  <mergeCells count="41">
    <mergeCell ref="F21:H21"/>
    <mergeCell ref="C3:C5"/>
    <mergeCell ref="A3:B5"/>
    <mergeCell ref="D3:F4"/>
    <mergeCell ref="A17:B17"/>
    <mergeCell ref="F17:H17"/>
    <mergeCell ref="A18:B18"/>
    <mergeCell ref="F18:H18"/>
    <mergeCell ref="F20:H20"/>
    <mergeCell ref="G3:CR3"/>
    <mergeCell ref="G4:I4"/>
    <mergeCell ref="J4:L4"/>
    <mergeCell ref="M4:O4"/>
    <mergeCell ref="P4:R4"/>
    <mergeCell ref="S4:U4"/>
    <mergeCell ref="V4:X4"/>
    <mergeCell ref="CD4:CF4"/>
    <mergeCell ref="CG4:CI4"/>
    <mergeCell ref="CJ4:CL4"/>
    <mergeCell ref="CM4:CO4"/>
    <mergeCell ref="CP4:CR4"/>
    <mergeCell ref="BO4:BQ4"/>
    <mergeCell ref="BR4:BT4"/>
    <mergeCell ref="BU4:BW4"/>
    <mergeCell ref="BX4:BZ4"/>
    <mergeCell ref="CA4:CC4"/>
    <mergeCell ref="AZ4:BB4"/>
    <mergeCell ref="BC4:BE4"/>
    <mergeCell ref="BF4:BH4"/>
    <mergeCell ref="BI4:BK4"/>
    <mergeCell ref="BL4:BN4"/>
    <mergeCell ref="AN4:AP4"/>
    <mergeCell ref="AQ4:AS4"/>
    <mergeCell ref="AT4:AV4"/>
    <mergeCell ref="AW4:AY4"/>
    <mergeCell ref="A2:B2"/>
    <mergeCell ref="Y4:AA4"/>
    <mergeCell ref="AB4:AD4"/>
    <mergeCell ref="AE4:AG4"/>
    <mergeCell ref="AH4:AJ4"/>
    <mergeCell ref="AK4:AM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927"/>
  <sheetViews>
    <sheetView zoomScale="42" zoomScaleNormal="41" workbookViewId="0">
      <selection activeCell="J2" sqref="J2"/>
    </sheetView>
  </sheetViews>
  <sheetFormatPr baseColWidth="10" defaultColWidth="11" defaultRowHeight="14.5"/>
  <cols>
    <col min="7" max="7" width="14.54296875" customWidth="1"/>
    <col min="8" max="8" width="14.90625" customWidth="1"/>
    <col min="14" max="14" width="22.54296875" customWidth="1"/>
  </cols>
  <sheetData>
    <row r="1" spans="1:36" ht="15" thickBot="1">
      <c r="A1" s="388" t="s">
        <v>90</v>
      </c>
      <c r="B1" s="389"/>
      <c r="C1" s="390"/>
    </row>
    <row r="2" spans="1:36" ht="15" thickBot="1">
      <c r="A2" s="391"/>
      <c r="B2" s="392"/>
      <c r="C2" s="393"/>
      <c r="I2" s="104" t="s">
        <v>92</v>
      </c>
      <c r="J2" s="263">
        <v>10000</v>
      </c>
    </row>
    <row r="3" spans="1:36" ht="15" thickBot="1">
      <c r="M3" s="346" t="s">
        <v>93</v>
      </c>
      <c r="N3" s="347"/>
      <c r="O3" s="348"/>
    </row>
    <row r="4" spans="1:36" ht="15" thickBot="1">
      <c r="A4" s="96"/>
      <c r="B4" s="346" t="s">
        <v>184</v>
      </c>
      <c r="C4" s="347"/>
      <c r="D4" s="348"/>
      <c r="G4" s="349" t="s">
        <v>91</v>
      </c>
      <c r="H4" s="350"/>
      <c r="I4" s="351"/>
      <c r="M4" s="394" t="s">
        <v>96</v>
      </c>
      <c r="N4" s="395"/>
      <c r="O4" s="17">
        <v>0</v>
      </c>
      <c r="P4" s="101" t="s">
        <v>98</v>
      </c>
      <c r="Q4" s="17" t="s">
        <v>12</v>
      </c>
      <c r="R4" s="17" t="s">
        <v>13</v>
      </c>
      <c r="S4" s="17" t="s">
        <v>14</v>
      </c>
      <c r="T4" s="17" t="s">
        <v>15</v>
      </c>
      <c r="U4" s="17" t="s">
        <v>16</v>
      </c>
      <c r="V4" s="17" t="s">
        <v>17</v>
      </c>
      <c r="W4" s="17" t="s">
        <v>18</v>
      </c>
      <c r="X4" s="17" t="s">
        <v>19</v>
      </c>
      <c r="Y4" s="17" t="s">
        <v>20</v>
      </c>
      <c r="Z4" s="17" t="s">
        <v>21</v>
      </c>
      <c r="AA4" s="17" t="s">
        <v>22</v>
      </c>
      <c r="AB4" s="17" t="s">
        <v>23</v>
      </c>
      <c r="AC4" s="17" t="s">
        <v>24</v>
      </c>
      <c r="AD4" s="17" t="s">
        <v>25</v>
      </c>
      <c r="AE4" s="17" t="s">
        <v>26</v>
      </c>
      <c r="AF4" s="17" t="s">
        <v>27</v>
      </c>
      <c r="AG4" s="17" t="s">
        <v>28</v>
      </c>
      <c r="AH4" s="17" t="s">
        <v>29</v>
      </c>
      <c r="AI4" s="17" t="s">
        <v>99</v>
      </c>
      <c r="AJ4" s="18" t="s">
        <v>100</v>
      </c>
    </row>
    <row r="5" spans="1:36" ht="31" customHeight="1" thickBot="1">
      <c r="G5" s="111" t="s">
        <v>95</v>
      </c>
      <c r="H5" s="112" t="s">
        <v>96</v>
      </c>
      <c r="I5" s="113" t="s">
        <v>97</v>
      </c>
      <c r="M5" s="396"/>
      <c r="N5" s="397"/>
      <c r="O5" s="102">
        <f>SUM(E6,E141,E269,E393,E525,E645,E769,E893,E1015,E1129,E1272,E1402,E1539,E1679,E1803)</f>
        <v>17784</v>
      </c>
      <c r="P5" s="102">
        <f>SUM(E7:E10,E142:E145,E270:E273,E394:E397,E526:E529,E646:E649,E770:E773,E894:E897,E1016:E1019,E1130:E1133,E1273:E1276,E1403:E1406,E1540:E1543,E1680:E1683,E1804:E1807)</f>
        <v>79680</v>
      </c>
      <c r="Q5" s="102">
        <f>SUM(E17,E152,E280,E404,E536,E656,E780,E904,E1026,E1140,E1283,E1413,E1550,E1690,E1814)</f>
        <v>98818</v>
      </c>
      <c r="R5" s="102">
        <f>SUM(E23,E158,E286,E410,E542,E662,E786,E910,E1032,E1146,E1289,E1419,E1556,E1696,E1820)</f>
        <v>90547</v>
      </c>
      <c r="S5" s="102">
        <f>SUM(E29,E164,E292,E416,E548,E668,E792,E916,E1038,E1152,E1295,E1425,E1562,E1702,E1826)</f>
        <v>87425</v>
      </c>
      <c r="T5" s="102">
        <f>SUM(E35,E170,E298,E422,E554,E674,E798,E922,E1044,E1158,E1301,E1431,E1568,E1708,E1832)</f>
        <v>77426</v>
      </c>
      <c r="U5" s="102">
        <f>SUM(E41,E176,E304,E428,E560,E680,E804,E928,E1050,E1164,E1307,E1437,E1574,E1714,E1838)</f>
        <v>66200</v>
      </c>
      <c r="V5" s="102">
        <f>SUM(E47,E182,E310,E434,E566,E686,E810,E934,E1056,E1170,E1313,E1443,E1580,E1720,E1844)</f>
        <v>58628</v>
      </c>
      <c r="W5" s="102">
        <f>SUM(E53,E188,E316,E440,E572,E692,E816,E940,E1062,E1176,E1319,E1449,E1586,E1726,E1850)</f>
        <v>52083</v>
      </c>
      <c r="X5" s="102">
        <f>SUM(E59,E194,E322,E446,E578,E698,E822,E946,E1068,E1182,E1325,E1455,E1592,E1732,E1856)</f>
        <v>41659</v>
      </c>
      <c r="Y5" s="102">
        <f>SUM(E65,E200,E328,E452,E584,E704,E828,E952,E1074,E1188,E1331,E1461,E1598,E1738,E1862)</f>
        <v>35856</v>
      </c>
      <c r="Z5" s="102">
        <f>SUM(E71,E206,E334,E458,E590,E710,E834,E958,E1080,E1194,E1337,E1467,E1604,E1744,E1868)</f>
        <v>31199</v>
      </c>
      <c r="AA5" s="102">
        <f>SUM(E77,E212,E340,E464,E596,E716,E840,E964,E1086,E1194,E1337,E1473,E1610,E1750,E1874)</f>
        <v>28693</v>
      </c>
      <c r="AB5" s="102">
        <f>SUM(E83,E218,E346,E470,E602,E722,E846,E1092,E1206,E1349,E1479,E1616,E1756,E1880)</f>
        <v>18965</v>
      </c>
      <c r="AC5" s="102">
        <f>SUM(E89,E224,E352,E476,E608,E728,E852,E976,E1098,E1212,E1355,E1485,E1622,E1762,E1886)</f>
        <v>14884</v>
      </c>
      <c r="AD5" s="102">
        <f>SUM(E95,E230,E358,E482,E614,E734,E858,E982,E1104,E1218,E1361,E1491,E1628,E1768,E1892)</f>
        <v>10026</v>
      </c>
      <c r="AE5" s="102">
        <f>SUM(E101,E236,E364,E488,E620,E740,E864,E988,E1110,E1224,E1367,E1497,E1634,E1774,E1898)</f>
        <v>7352</v>
      </c>
      <c r="AF5" s="102">
        <f>SUM(E107,E242,E370,E494,E626,E746,E870,E994,E1116,E1230,E1373,E1503,E1640,E1780,E1904)</f>
        <v>4340</v>
      </c>
      <c r="AG5" s="102">
        <f>SUM(E113,E248,E376,E500,E632,E752,E876,E1000,E1122,E1236,E1379,E1509,E1646,E1786,E1910)</f>
        <v>2595</v>
      </c>
      <c r="AH5" s="102">
        <f>SUM(E119,E254,E382,E506,E638,E758,E882,E1005,E1126,E1242,E1385,E1515,E1652,E1792,E1916)</f>
        <v>1184</v>
      </c>
      <c r="AI5" s="102">
        <f>SUM(E125,E259,E388,E511,E644,E764,E888,E1011,E1128,E1248,E1391,E1521,E1658,E1797,E1922)</f>
        <v>510</v>
      </c>
      <c r="AJ5" s="103">
        <f>SUM(E131,E134,E138,E140,E262,E264,E266,E268,E516,E518,E521,E524,E892,E1014,E1254,E1259,E1264,E1268,E1271,E1395,E1399,E1401,E1526,E1529,E1534,E1536,E1538,E1664,E1669,E1673,E1676,E1678,E1800,E1802,E1925,E1927)</f>
        <v>217</v>
      </c>
    </row>
    <row r="6" spans="1:36">
      <c r="A6" s="361" t="s">
        <v>8</v>
      </c>
      <c r="B6" s="364" t="s">
        <v>9</v>
      </c>
      <c r="C6" s="367" t="s">
        <v>10</v>
      </c>
      <c r="D6" s="105">
        <v>0</v>
      </c>
      <c r="E6" s="106">
        <v>3970</v>
      </c>
      <c r="G6" s="114">
        <f>SUM('DF2018'!G11:AA11)</f>
        <v>129</v>
      </c>
      <c r="H6" s="99">
        <f>E6</f>
        <v>3970</v>
      </c>
      <c r="I6" s="115">
        <f>J2*G6/H6</f>
        <v>324.93702770780857</v>
      </c>
      <c r="M6" s="118">
        <f>SUM('DF2018'!G6:AA6)</f>
        <v>399</v>
      </c>
      <c r="N6" s="119">
        <f>O5</f>
        <v>17784</v>
      </c>
      <c r="O6" s="139">
        <f>J2*M6/N6</f>
        <v>224.35897435897436</v>
      </c>
    </row>
    <row r="7" spans="1:36" ht="15">
      <c r="A7" s="362"/>
      <c r="B7" s="365"/>
      <c r="C7" s="368"/>
      <c r="D7" s="97">
        <v>1</v>
      </c>
      <c r="E7" s="107">
        <v>4108</v>
      </c>
      <c r="G7" s="370">
        <f>SUM('DF2018'!AB11:AG11)</f>
        <v>44</v>
      </c>
      <c r="H7" s="373">
        <f>SUM(E7:E10)</f>
        <v>16486</v>
      </c>
      <c r="I7" s="375">
        <f>J2*G7/H7</f>
        <v>26.689312143637025</v>
      </c>
      <c r="M7" s="376">
        <f>SUM('DF2018'!AB6:AG6)</f>
        <v>132</v>
      </c>
      <c r="N7" s="383">
        <f>P5</f>
        <v>79680</v>
      </c>
      <c r="O7" s="385">
        <f>J2*M7/N7</f>
        <v>16.566265060240966</v>
      </c>
    </row>
    <row r="8" spans="1:36" ht="15" thickBot="1">
      <c r="A8" s="362"/>
      <c r="B8" s="365"/>
      <c r="C8" s="368"/>
      <c r="D8" s="98">
        <v>2</v>
      </c>
      <c r="E8" s="108">
        <v>4216</v>
      </c>
      <c r="G8" s="371"/>
      <c r="H8" s="374"/>
      <c r="I8" s="375"/>
      <c r="M8" s="377"/>
      <c r="N8" s="384"/>
      <c r="O8" s="385"/>
    </row>
    <row r="9" spans="1:36" ht="15" customHeight="1">
      <c r="A9" s="362"/>
      <c r="B9" s="365"/>
      <c r="C9" s="368"/>
      <c r="D9" s="97">
        <v>3</v>
      </c>
      <c r="E9" s="107">
        <v>4207</v>
      </c>
      <c r="G9" s="371"/>
      <c r="H9" s="374"/>
      <c r="I9" s="375"/>
      <c r="M9" s="377"/>
      <c r="N9" s="384"/>
      <c r="O9" s="385"/>
      <c r="T9" s="355" t="s">
        <v>353</v>
      </c>
      <c r="U9" s="356"/>
      <c r="V9" s="356"/>
      <c r="W9" s="356"/>
      <c r="X9" s="356"/>
      <c r="Y9" s="357"/>
    </row>
    <row r="10" spans="1:36" ht="18.5" customHeight="1" thickBot="1">
      <c r="A10" s="362"/>
      <c r="B10" s="365"/>
      <c r="C10" s="368"/>
      <c r="D10" s="98">
        <v>4</v>
      </c>
      <c r="E10" s="108">
        <v>3955</v>
      </c>
      <c r="G10" s="371"/>
      <c r="H10" s="374"/>
      <c r="I10" s="375"/>
      <c r="M10" s="377"/>
      <c r="N10" s="384"/>
      <c r="O10" s="385"/>
      <c r="T10" s="358"/>
      <c r="U10" s="359"/>
      <c r="V10" s="359"/>
      <c r="W10" s="359"/>
      <c r="X10" s="359"/>
      <c r="Y10" s="360"/>
    </row>
    <row r="11" spans="1:36" ht="28" customHeight="1">
      <c r="A11" s="362"/>
      <c r="B11" s="365"/>
      <c r="C11" s="368"/>
      <c r="D11" s="97" t="s">
        <v>11</v>
      </c>
      <c r="E11" s="107">
        <v>20456</v>
      </c>
      <c r="G11" s="116"/>
      <c r="H11" s="100"/>
      <c r="I11" s="117"/>
      <c r="M11" s="120"/>
      <c r="N11" s="95"/>
      <c r="O11" s="140"/>
    </row>
    <row r="12" spans="1:36">
      <c r="A12" s="362"/>
      <c r="B12" s="365"/>
      <c r="C12" s="368" t="s">
        <v>12</v>
      </c>
      <c r="D12" s="98">
        <v>5</v>
      </c>
      <c r="E12" s="108">
        <v>4051</v>
      </c>
      <c r="G12" s="370">
        <f>SUM('DF2018'!AH11:AJ11)</f>
        <v>7</v>
      </c>
      <c r="H12" s="373">
        <f>E17</f>
        <v>20231</v>
      </c>
      <c r="I12" s="375">
        <f>J2*G12/H12</f>
        <v>3.4600365775295341</v>
      </c>
      <c r="M12" s="376">
        <f>SUM('DF2018'!AH6:AJ6)</f>
        <v>30</v>
      </c>
      <c r="N12" s="383">
        <f>Q5</f>
        <v>98818</v>
      </c>
      <c r="O12" s="385">
        <f>M12*J2/N12</f>
        <v>3.0358841506608107</v>
      </c>
    </row>
    <row r="13" spans="1:36" ht="15">
      <c r="A13" s="362"/>
      <c r="B13" s="365"/>
      <c r="C13" s="368"/>
      <c r="D13" s="97">
        <v>6</v>
      </c>
      <c r="E13" s="107">
        <v>4235</v>
      </c>
      <c r="G13" s="371"/>
      <c r="H13" s="374"/>
      <c r="I13" s="375"/>
      <c r="M13" s="377"/>
      <c r="N13" s="384"/>
      <c r="O13" s="385"/>
    </row>
    <row r="14" spans="1:36">
      <c r="A14" s="362"/>
      <c r="B14" s="365"/>
      <c r="C14" s="368"/>
      <c r="D14" s="98">
        <v>7</v>
      </c>
      <c r="E14" s="108">
        <v>4042</v>
      </c>
      <c r="G14" s="371"/>
      <c r="H14" s="374"/>
      <c r="I14" s="375"/>
      <c r="M14" s="377"/>
      <c r="N14" s="384"/>
      <c r="O14" s="385"/>
    </row>
    <row r="15" spans="1:36" ht="15">
      <c r="A15" s="362"/>
      <c r="B15" s="365"/>
      <c r="C15" s="368"/>
      <c r="D15" s="97">
        <v>8</v>
      </c>
      <c r="E15" s="107">
        <v>3944</v>
      </c>
      <c r="G15" s="371"/>
      <c r="H15" s="374"/>
      <c r="I15" s="375"/>
      <c r="M15" s="377"/>
      <c r="N15" s="384"/>
      <c r="O15" s="385"/>
    </row>
    <row r="16" spans="1:36">
      <c r="A16" s="362"/>
      <c r="B16" s="365"/>
      <c r="C16" s="368"/>
      <c r="D16" s="98">
        <v>9</v>
      </c>
      <c r="E16" s="108">
        <v>3959</v>
      </c>
      <c r="G16" s="371"/>
      <c r="H16" s="374"/>
      <c r="I16" s="375"/>
      <c r="M16" s="377"/>
      <c r="N16" s="384"/>
      <c r="O16" s="385"/>
    </row>
    <row r="17" spans="1:15" ht="28">
      <c r="A17" s="362"/>
      <c r="B17" s="365"/>
      <c r="C17" s="368"/>
      <c r="D17" s="97" t="s">
        <v>11</v>
      </c>
      <c r="E17" s="107">
        <v>20231</v>
      </c>
      <c r="G17" s="116"/>
      <c r="H17" s="100"/>
      <c r="I17" s="117"/>
      <c r="M17" s="120"/>
      <c r="N17" s="95"/>
      <c r="O17" s="140"/>
    </row>
    <row r="18" spans="1:15">
      <c r="A18" s="362"/>
      <c r="B18" s="365"/>
      <c r="C18" s="368" t="s">
        <v>13</v>
      </c>
      <c r="D18" s="98">
        <v>10</v>
      </c>
      <c r="E18" s="108">
        <v>3849</v>
      </c>
      <c r="G18" s="370">
        <f>SUM('DF2018'!AK11:AM11)</f>
        <v>9</v>
      </c>
      <c r="H18" s="373">
        <f>E23</f>
        <v>18438</v>
      </c>
      <c r="I18" s="375">
        <f>J2*G18/H18</f>
        <v>4.8812235600390501</v>
      </c>
      <c r="M18" s="376">
        <f>SUM('DF2018'!AK6:AM6)</f>
        <v>30</v>
      </c>
      <c r="N18" s="383">
        <f>R5</f>
        <v>90547</v>
      </c>
      <c r="O18" s="385">
        <f>M18*J2/N18</f>
        <v>3.3131964615061791</v>
      </c>
    </row>
    <row r="19" spans="1:15" ht="15">
      <c r="A19" s="362"/>
      <c r="B19" s="365"/>
      <c r="C19" s="368"/>
      <c r="D19" s="97">
        <v>11</v>
      </c>
      <c r="E19" s="107">
        <v>3874</v>
      </c>
      <c r="G19" s="371"/>
      <c r="H19" s="374"/>
      <c r="I19" s="375"/>
      <c r="M19" s="377"/>
      <c r="N19" s="384"/>
      <c r="O19" s="385"/>
    </row>
    <row r="20" spans="1:15">
      <c r="A20" s="362"/>
      <c r="B20" s="365"/>
      <c r="C20" s="368"/>
      <c r="D20" s="98">
        <v>12</v>
      </c>
      <c r="E20" s="108">
        <v>3576</v>
      </c>
      <c r="G20" s="371"/>
      <c r="H20" s="374"/>
      <c r="I20" s="375"/>
      <c r="M20" s="377"/>
      <c r="N20" s="384"/>
      <c r="O20" s="385"/>
    </row>
    <row r="21" spans="1:15" ht="15">
      <c r="A21" s="362"/>
      <c r="B21" s="365"/>
      <c r="C21" s="368"/>
      <c r="D21" s="97">
        <v>13</v>
      </c>
      <c r="E21" s="107">
        <v>3631</v>
      </c>
      <c r="G21" s="371"/>
      <c r="H21" s="374"/>
      <c r="I21" s="375"/>
      <c r="M21" s="377"/>
      <c r="N21" s="384"/>
      <c r="O21" s="385"/>
    </row>
    <row r="22" spans="1:15">
      <c r="A22" s="362"/>
      <c r="B22" s="365"/>
      <c r="C22" s="368"/>
      <c r="D22" s="98">
        <v>14</v>
      </c>
      <c r="E22" s="108">
        <v>3508</v>
      </c>
      <c r="G22" s="371"/>
      <c r="H22" s="374"/>
      <c r="I22" s="375"/>
      <c r="M22" s="377"/>
      <c r="N22" s="384"/>
      <c r="O22" s="385"/>
    </row>
    <row r="23" spans="1:15" ht="28">
      <c r="A23" s="362"/>
      <c r="B23" s="365"/>
      <c r="C23" s="368"/>
      <c r="D23" s="97" t="s">
        <v>11</v>
      </c>
      <c r="E23" s="107">
        <v>18438</v>
      </c>
      <c r="G23" s="116"/>
      <c r="H23" s="100"/>
      <c r="I23" s="117"/>
      <c r="M23" s="120"/>
      <c r="N23" s="95"/>
      <c r="O23" s="140"/>
    </row>
    <row r="24" spans="1:15">
      <c r="A24" s="362"/>
      <c r="B24" s="365"/>
      <c r="C24" s="368" t="s">
        <v>14</v>
      </c>
      <c r="D24" s="98">
        <v>15</v>
      </c>
      <c r="E24" s="108">
        <v>3445</v>
      </c>
      <c r="G24" s="370">
        <f>SUM('DF2018'!AN11:AP11)</f>
        <v>27</v>
      </c>
      <c r="H24" s="373">
        <f>E29</f>
        <v>17906</v>
      </c>
      <c r="I24" s="375">
        <f>J2*G24/H24</f>
        <v>15.078744554897799</v>
      </c>
      <c r="M24" s="376">
        <f>SUM('DF2018'!AN6:AP6)</f>
        <v>72</v>
      </c>
      <c r="N24" s="383">
        <f>S5</f>
        <v>87425</v>
      </c>
      <c r="O24" s="385">
        <f>J2*M24/N24</f>
        <v>8.235630540463255</v>
      </c>
    </row>
    <row r="25" spans="1:15" ht="15">
      <c r="A25" s="362"/>
      <c r="B25" s="365"/>
      <c r="C25" s="368"/>
      <c r="D25" s="97">
        <v>16</v>
      </c>
      <c r="E25" s="107">
        <v>3358</v>
      </c>
      <c r="G25" s="371"/>
      <c r="H25" s="374"/>
      <c r="I25" s="375"/>
      <c r="M25" s="377"/>
      <c r="N25" s="384"/>
      <c r="O25" s="385"/>
    </row>
    <row r="26" spans="1:15">
      <c r="A26" s="362"/>
      <c r="B26" s="365"/>
      <c r="C26" s="368"/>
      <c r="D26" s="98">
        <v>17</v>
      </c>
      <c r="E26" s="108">
        <v>3599</v>
      </c>
      <c r="G26" s="371"/>
      <c r="H26" s="374"/>
      <c r="I26" s="375"/>
      <c r="M26" s="377"/>
      <c r="N26" s="384"/>
      <c r="O26" s="385"/>
    </row>
    <row r="27" spans="1:15" ht="15">
      <c r="A27" s="362"/>
      <c r="B27" s="365"/>
      <c r="C27" s="368"/>
      <c r="D27" s="97">
        <v>18</v>
      </c>
      <c r="E27" s="107">
        <v>3959</v>
      </c>
      <c r="G27" s="371"/>
      <c r="H27" s="374"/>
      <c r="I27" s="375"/>
      <c r="M27" s="377"/>
      <c r="N27" s="384"/>
      <c r="O27" s="385"/>
    </row>
    <row r="28" spans="1:15">
      <c r="A28" s="362"/>
      <c r="B28" s="365"/>
      <c r="C28" s="368"/>
      <c r="D28" s="98">
        <v>19</v>
      </c>
      <c r="E28" s="108">
        <v>3545</v>
      </c>
      <c r="G28" s="371"/>
      <c r="H28" s="374"/>
      <c r="I28" s="375"/>
      <c r="M28" s="377"/>
      <c r="N28" s="384"/>
      <c r="O28" s="385"/>
    </row>
    <row r="29" spans="1:15" ht="28">
      <c r="A29" s="362"/>
      <c r="B29" s="365"/>
      <c r="C29" s="368"/>
      <c r="D29" s="97" t="s">
        <v>11</v>
      </c>
      <c r="E29" s="107">
        <v>17906</v>
      </c>
      <c r="G29" s="116"/>
      <c r="H29" s="100"/>
      <c r="I29" s="117"/>
      <c r="M29" s="120"/>
      <c r="N29" s="95"/>
      <c r="O29" s="140"/>
    </row>
    <row r="30" spans="1:15">
      <c r="A30" s="362"/>
      <c r="B30" s="365"/>
      <c r="C30" s="368" t="s">
        <v>15</v>
      </c>
      <c r="D30" s="98">
        <v>20</v>
      </c>
      <c r="E30" s="108">
        <v>3488</v>
      </c>
      <c r="G30" s="370">
        <f>SUM('DF2018'!AQ11:AS11)</f>
        <v>29</v>
      </c>
      <c r="H30" s="373">
        <f>E35</f>
        <v>16823</v>
      </c>
      <c r="I30" s="375">
        <f>J2*G30/H30</f>
        <v>17.238304701896215</v>
      </c>
      <c r="M30" s="376">
        <f>SUM('DF2018'!AQ6:AS6)</f>
        <v>85</v>
      </c>
      <c r="N30" s="383">
        <f>T5</f>
        <v>77426</v>
      </c>
      <c r="O30" s="385">
        <f>M30*J2/N30</f>
        <v>10.978224369074988</v>
      </c>
    </row>
    <row r="31" spans="1:15" ht="15">
      <c r="A31" s="362"/>
      <c r="B31" s="365"/>
      <c r="C31" s="368"/>
      <c r="D31" s="97">
        <v>21</v>
      </c>
      <c r="E31" s="107">
        <v>3233</v>
      </c>
      <c r="G31" s="371"/>
      <c r="H31" s="374"/>
      <c r="I31" s="375"/>
      <c r="M31" s="377"/>
      <c r="N31" s="384"/>
      <c r="O31" s="385"/>
    </row>
    <row r="32" spans="1:15">
      <c r="A32" s="362"/>
      <c r="B32" s="365"/>
      <c r="C32" s="368"/>
      <c r="D32" s="98">
        <v>22</v>
      </c>
      <c r="E32" s="108">
        <v>3448</v>
      </c>
      <c r="G32" s="371"/>
      <c r="H32" s="374"/>
      <c r="I32" s="375"/>
      <c r="M32" s="377"/>
      <c r="N32" s="384"/>
      <c r="O32" s="385"/>
    </row>
    <row r="33" spans="1:15" ht="15">
      <c r="A33" s="362"/>
      <c r="B33" s="365"/>
      <c r="C33" s="368"/>
      <c r="D33" s="97">
        <v>23</v>
      </c>
      <c r="E33" s="107">
        <v>3440</v>
      </c>
      <c r="G33" s="371"/>
      <c r="H33" s="374"/>
      <c r="I33" s="375"/>
      <c r="M33" s="377"/>
      <c r="N33" s="384"/>
      <c r="O33" s="385"/>
    </row>
    <row r="34" spans="1:15">
      <c r="A34" s="362"/>
      <c r="B34" s="365"/>
      <c r="C34" s="368"/>
      <c r="D34" s="98">
        <v>24</v>
      </c>
      <c r="E34" s="108">
        <v>3214</v>
      </c>
      <c r="G34" s="371"/>
      <c r="H34" s="374"/>
      <c r="I34" s="375"/>
      <c r="M34" s="377"/>
      <c r="N34" s="384"/>
      <c r="O34" s="385"/>
    </row>
    <row r="35" spans="1:15" ht="28">
      <c r="A35" s="362"/>
      <c r="B35" s="365"/>
      <c r="C35" s="368"/>
      <c r="D35" s="97" t="s">
        <v>11</v>
      </c>
      <c r="E35" s="107">
        <v>16823</v>
      </c>
      <c r="G35" s="116"/>
      <c r="H35" s="100"/>
      <c r="I35" s="117"/>
      <c r="M35" s="120"/>
      <c r="N35" s="95"/>
      <c r="O35" s="140"/>
    </row>
    <row r="36" spans="1:15">
      <c r="A36" s="362"/>
      <c r="B36" s="365"/>
      <c r="C36" s="368" t="s">
        <v>16</v>
      </c>
      <c r="D36" s="98">
        <v>25</v>
      </c>
      <c r="E36" s="108">
        <v>3226</v>
      </c>
      <c r="G36" s="370">
        <f>SUM('DF2018'!AT11:AV11)</f>
        <v>25</v>
      </c>
      <c r="H36" s="373">
        <f>E41</f>
        <v>15035</v>
      </c>
      <c r="I36" s="375">
        <f>J2*G36/H36</f>
        <v>16.627868307283006</v>
      </c>
      <c r="M36" s="376">
        <f>SUM('DF2018'!AT6:AV6)</f>
        <v>95</v>
      </c>
      <c r="N36" s="383">
        <f>U5</f>
        <v>66200</v>
      </c>
      <c r="O36" s="385">
        <f>J2*M36/N36</f>
        <v>14.350453172205437</v>
      </c>
    </row>
    <row r="37" spans="1:15" ht="15">
      <c r="A37" s="362"/>
      <c r="B37" s="365"/>
      <c r="C37" s="368"/>
      <c r="D37" s="97">
        <v>26</v>
      </c>
      <c r="E37" s="107">
        <v>3105</v>
      </c>
      <c r="G37" s="371"/>
      <c r="H37" s="374"/>
      <c r="I37" s="375"/>
      <c r="M37" s="377"/>
      <c r="N37" s="384"/>
      <c r="O37" s="385"/>
    </row>
    <row r="38" spans="1:15">
      <c r="A38" s="362"/>
      <c r="B38" s="365"/>
      <c r="C38" s="368"/>
      <c r="D38" s="98">
        <v>27</v>
      </c>
      <c r="E38" s="108">
        <v>2945</v>
      </c>
      <c r="G38" s="371"/>
      <c r="H38" s="374"/>
      <c r="I38" s="375"/>
      <c r="M38" s="377"/>
      <c r="N38" s="384"/>
      <c r="O38" s="385"/>
    </row>
    <row r="39" spans="1:15" ht="15">
      <c r="A39" s="362"/>
      <c r="B39" s="365"/>
      <c r="C39" s="368"/>
      <c r="D39" s="97">
        <v>28</v>
      </c>
      <c r="E39" s="107">
        <v>2863</v>
      </c>
      <c r="G39" s="371"/>
      <c r="H39" s="374"/>
      <c r="I39" s="375"/>
      <c r="M39" s="377"/>
      <c r="N39" s="384"/>
      <c r="O39" s="385"/>
    </row>
    <row r="40" spans="1:15">
      <c r="A40" s="362"/>
      <c r="B40" s="365"/>
      <c r="C40" s="368"/>
      <c r="D40" s="98">
        <v>29</v>
      </c>
      <c r="E40" s="108">
        <v>2896</v>
      </c>
      <c r="G40" s="371"/>
      <c r="H40" s="374"/>
      <c r="I40" s="375"/>
      <c r="M40" s="377"/>
      <c r="N40" s="384"/>
      <c r="O40" s="385"/>
    </row>
    <row r="41" spans="1:15" ht="28">
      <c r="A41" s="362"/>
      <c r="B41" s="365"/>
      <c r="C41" s="368"/>
      <c r="D41" s="97" t="s">
        <v>11</v>
      </c>
      <c r="E41" s="107">
        <v>15035</v>
      </c>
      <c r="G41" s="116"/>
      <c r="H41" s="100"/>
      <c r="I41" s="117"/>
      <c r="M41" s="120"/>
      <c r="N41" s="95"/>
      <c r="O41" s="140"/>
    </row>
    <row r="42" spans="1:15">
      <c r="A42" s="362"/>
      <c r="B42" s="365"/>
      <c r="C42" s="368" t="s">
        <v>17</v>
      </c>
      <c r="D42" s="98">
        <v>30</v>
      </c>
      <c r="E42" s="108">
        <v>2889</v>
      </c>
      <c r="G42" s="370">
        <f>SUM('DF2018'!AW11:AY11)</f>
        <v>21</v>
      </c>
      <c r="H42" s="373">
        <f>E47</f>
        <v>13352</v>
      </c>
      <c r="I42" s="375">
        <f>J2*G42/H42</f>
        <v>15.727980826842421</v>
      </c>
      <c r="M42" s="376">
        <f>SUM('DF2018'!AW6:AY6)</f>
        <v>84</v>
      </c>
      <c r="N42" s="383">
        <f>V5</f>
        <v>58628</v>
      </c>
      <c r="O42" s="385">
        <f>M42*J2/N42</f>
        <v>14.327625025585045</v>
      </c>
    </row>
    <row r="43" spans="1:15" ht="15">
      <c r="A43" s="362"/>
      <c r="B43" s="365"/>
      <c r="C43" s="368"/>
      <c r="D43" s="97">
        <v>31</v>
      </c>
      <c r="E43" s="107">
        <v>2593</v>
      </c>
      <c r="G43" s="371"/>
      <c r="H43" s="374"/>
      <c r="I43" s="375"/>
      <c r="M43" s="377"/>
      <c r="N43" s="384"/>
      <c r="O43" s="385"/>
    </row>
    <row r="44" spans="1:15">
      <c r="A44" s="362"/>
      <c r="B44" s="365"/>
      <c r="C44" s="368"/>
      <c r="D44" s="98">
        <v>32</v>
      </c>
      <c r="E44" s="108">
        <v>2629</v>
      </c>
      <c r="G44" s="371"/>
      <c r="H44" s="374"/>
      <c r="I44" s="375"/>
      <c r="M44" s="377"/>
      <c r="N44" s="384"/>
      <c r="O44" s="385"/>
    </row>
    <row r="45" spans="1:15" ht="15">
      <c r="A45" s="362"/>
      <c r="B45" s="365"/>
      <c r="C45" s="368"/>
      <c r="D45" s="97">
        <v>33</v>
      </c>
      <c r="E45" s="107">
        <v>2672</v>
      </c>
      <c r="G45" s="371"/>
      <c r="H45" s="374"/>
      <c r="I45" s="375"/>
      <c r="M45" s="377"/>
      <c r="N45" s="384"/>
      <c r="O45" s="385"/>
    </row>
    <row r="46" spans="1:15">
      <c r="A46" s="362"/>
      <c r="B46" s="365"/>
      <c r="C46" s="368"/>
      <c r="D46" s="98">
        <v>34</v>
      </c>
      <c r="E46" s="108">
        <v>2569</v>
      </c>
      <c r="G46" s="371"/>
      <c r="H46" s="374"/>
      <c r="I46" s="375"/>
      <c r="M46" s="377"/>
      <c r="N46" s="384"/>
      <c r="O46" s="385"/>
    </row>
    <row r="47" spans="1:15" ht="28">
      <c r="A47" s="362"/>
      <c r="B47" s="365"/>
      <c r="C47" s="368"/>
      <c r="D47" s="97" t="s">
        <v>11</v>
      </c>
      <c r="E47" s="107">
        <v>13352</v>
      </c>
      <c r="G47" s="116"/>
      <c r="H47" s="100"/>
      <c r="I47" s="117"/>
      <c r="M47" s="120"/>
      <c r="N47" s="95"/>
      <c r="O47" s="140"/>
    </row>
    <row r="48" spans="1:15">
      <c r="A48" s="362"/>
      <c r="B48" s="365"/>
      <c r="C48" s="368" t="s">
        <v>18</v>
      </c>
      <c r="D48" s="98">
        <v>35</v>
      </c>
      <c r="E48" s="108">
        <v>2730</v>
      </c>
      <c r="G48" s="370">
        <f>SUM('DF2018'!AZ11:BB11)</f>
        <v>29</v>
      </c>
      <c r="H48" s="373">
        <f>E53</f>
        <v>12170</v>
      </c>
      <c r="I48" s="375">
        <f>J2*G48/H48</f>
        <v>23.829087921117502</v>
      </c>
      <c r="M48" s="376">
        <f>SUM('DF2018'!AZ6:BB6)</f>
        <v>97</v>
      </c>
      <c r="N48" s="383">
        <f>W5</f>
        <v>52083</v>
      </c>
      <c r="O48" s="385">
        <f>M48*J2/N48</f>
        <v>18.624119194362844</v>
      </c>
    </row>
    <row r="49" spans="1:15" ht="15">
      <c r="A49" s="362"/>
      <c r="B49" s="365"/>
      <c r="C49" s="368"/>
      <c r="D49" s="97">
        <v>36</v>
      </c>
      <c r="E49" s="107">
        <v>2547</v>
      </c>
      <c r="G49" s="371"/>
      <c r="H49" s="374"/>
      <c r="I49" s="375"/>
      <c r="M49" s="377"/>
      <c r="N49" s="384"/>
      <c r="O49" s="385"/>
    </row>
    <row r="50" spans="1:15">
      <c r="A50" s="362"/>
      <c r="B50" s="365"/>
      <c r="C50" s="368"/>
      <c r="D50" s="98">
        <v>37</v>
      </c>
      <c r="E50" s="108">
        <v>2315</v>
      </c>
      <c r="G50" s="371"/>
      <c r="H50" s="374"/>
      <c r="I50" s="375"/>
      <c r="M50" s="377"/>
      <c r="N50" s="384"/>
      <c r="O50" s="385"/>
    </row>
    <row r="51" spans="1:15" ht="15">
      <c r="A51" s="362"/>
      <c r="B51" s="365"/>
      <c r="C51" s="368"/>
      <c r="D51" s="97">
        <v>38</v>
      </c>
      <c r="E51" s="107">
        <v>2349</v>
      </c>
      <c r="G51" s="371"/>
      <c r="H51" s="374"/>
      <c r="I51" s="375"/>
      <c r="M51" s="377"/>
      <c r="N51" s="384"/>
      <c r="O51" s="385"/>
    </row>
    <row r="52" spans="1:15">
      <c r="A52" s="362"/>
      <c r="B52" s="365"/>
      <c r="C52" s="368"/>
      <c r="D52" s="98">
        <v>39</v>
      </c>
      <c r="E52" s="108">
        <v>2229</v>
      </c>
      <c r="G52" s="371"/>
      <c r="H52" s="374"/>
      <c r="I52" s="375"/>
      <c r="M52" s="377"/>
      <c r="N52" s="384"/>
      <c r="O52" s="385"/>
    </row>
    <row r="53" spans="1:15" ht="28">
      <c r="A53" s="362"/>
      <c r="B53" s="365"/>
      <c r="C53" s="368"/>
      <c r="D53" s="97" t="s">
        <v>11</v>
      </c>
      <c r="E53" s="107">
        <v>12170</v>
      </c>
      <c r="G53" s="116"/>
      <c r="H53" s="100"/>
      <c r="I53" s="117"/>
      <c r="M53" s="120"/>
      <c r="N53" s="95"/>
      <c r="O53" s="140"/>
    </row>
    <row r="54" spans="1:15">
      <c r="A54" s="362"/>
      <c r="B54" s="365"/>
      <c r="C54" s="368" t="s">
        <v>19</v>
      </c>
      <c r="D54" s="98">
        <v>40</v>
      </c>
      <c r="E54" s="108">
        <v>2134</v>
      </c>
      <c r="G54" s="370">
        <f>SUM('DF2018'!BC11:BE11)</f>
        <v>20</v>
      </c>
      <c r="H54" s="373">
        <f>E59</f>
        <v>9315</v>
      </c>
      <c r="I54" s="375">
        <f>J2*G54/H54</f>
        <v>21.470746108427267</v>
      </c>
      <c r="M54" s="376">
        <f>SUM('DF2018'!BC6:BE6)</f>
        <v>92</v>
      </c>
      <c r="N54" s="383">
        <f>X5</f>
        <v>41659</v>
      </c>
      <c r="O54" s="385">
        <f>M54*J2/N54</f>
        <v>22.084063467678053</v>
      </c>
    </row>
    <row r="55" spans="1:15" ht="15">
      <c r="A55" s="362"/>
      <c r="B55" s="365"/>
      <c r="C55" s="368"/>
      <c r="D55" s="97">
        <v>41</v>
      </c>
      <c r="E55" s="107">
        <v>1893</v>
      </c>
      <c r="G55" s="371"/>
      <c r="H55" s="374"/>
      <c r="I55" s="375"/>
      <c r="M55" s="377"/>
      <c r="N55" s="384"/>
      <c r="O55" s="385"/>
    </row>
    <row r="56" spans="1:15">
      <c r="A56" s="362"/>
      <c r="B56" s="365"/>
      <c r="C56" s="368"/>
      <c r="D56" s="98">
        <v>42</v>
      </c>
      <c r="E56" s="108">
        <v>1881</v>
      </c>
      <c r="G56" s="371"/>
      <c r="H56" s="374"/>
      <c r="I56" s="375"/>
      <c r="M56" s="377"/>
      <c r="N56" s="384"/>
      <c r="O56" s="385"/>
    </row>
    <row r="57" spans="1:15" ht="15">
      <c r="A57" s="362"/>
      <c r="B57" s="365"/>
      <c r="C57" s="368"/>
      <c r="D57" s="97">
        <v>43</v>
      </c>
      <c r="E57" s="107">
        <v>1775</v>
      </c>
      <c r="G57" s="371"/>
      <c r="H57" s="374"/>
      <c r="I57" s="375"/>
      <c r="M57" s="377"/>
      <c r="N57" s="384"/>
      <c r="O57" s="385"/>
    </row>
    <row r="58" spans="1:15">
      <c r="A58" s="362"/>
      <c r="B58" s="365"/>
      <c r="C58" s="368"/>
      <c r="D58" s="98">
        <v>44</v>
      </c>
      <c r="E58" s="108">
        <v>1632</v>
      </c>
      <c r="G58" s="371"/>
      <c r="H58" s="374"/>
      <c r="I58" s="375"/>
      <c r="M58" s="377"/>
      <c r="N58" s="384"/>
      <c r="O58" s="385"/>
    </row>
    <row r="59" spans="1:15" ht="28">
      <c r="A59" s="362"/>
      <c r="B59" s="365"/>
      <c r="C59" s="368"/>
      <c r="D59" s="97" t="s">
        <v>11</v>
      </c>
      <c r="E59" s="107">
        <v>9315</v>
      </c>
      <c r="G59" s="116"/>
      <c r="H59" s="100"/>
      <c r="I59" s="117"/>
      <c r="M59" s="120"/>
      <c r="N59" s="95"/>
      <c r="O59" s="140"/>
    </row>
    <row r="60" spans="1:15">
      <c r="A60" s="362"/>
      <c r="B60" s="365"/>
      <c r="C60" s="368" t="s">
        <v>20</v>
      </c>
      <c r="D60" s="98">
        <v>45</v>
      </c>
      <c r="E60" s="108">
        <v>1775</v>
      </c>
      <c r="G60" s="370">
        <f>SUM('DF2018'!BF11:BH11)</f>
        <v>28</v>
      </c>
      <c r="H60" s="373">
        <f>E65</f>
        <v>8165</v>
      </c>
      <c r="I60" s="375">
        <f>J2*G60/H60</f>
        <v>34.29271279853031</v>
      </c>
      <c r="M60" s="376">
        <f>SUM('DF2018'!BF6:BH6)</f>
        <v>90</v>
      </c>
      <c r="N60" s="383">
        <f>Y5</f>
        <v>35856</v>
      </c>
      <c r="O60" s="385">
        <f>M60*J2/N60</f>
        <v>25.100401606425702</v>
      </c>
    </row>
    <row r="61" spans="1:15" ht="15">
      <c r="A61" s="362"/>
      <c r="B61" s="365"/>
      <c r="C61" s="368"/>
      <c r="D61" s="97">
        <v>46</v>
      </c>
      <c r="E61" s="107">
        <v>1566</v>
      </c>
      <c r="G61" s="371"/>
      <c r="H61" s="374"/>
      <c r="I61" s="375"/>
      <c r="M61" s="377"/>
      <c r="N61" s="384"/>
      <c r="O61" s="385"/>
    </row>
    <row r="62" spans="1:15">
      <c r="A62" s="362"/>
      <c r="B62" s="365"/>
      <c r="C62" s="368"/>
      <c r="D62" s="98">
        <v>47</v>
      </c>
      <c r="E62" s="108">
        <v>1622</v>
      </c>
      <c r="G62" s="371"/>
      <c r="H62" s="374"/>
      <c r="I62" s="375"/>
      <c r="M62" s="377"/>
      <c r="N62" s="384"/>
      <c r="O62" s="385"/>
    </row>
    <row r="63" spans="1:15" ht="15">
      <c r="A63" s="362"/>
      <c r="B63" s="365"/>
      <c r="C63" s="368"/>
      <c r="D63" s="97">
        <v>48</v>
      </c>
      <c r="E63" s="107">
        <v>1659</v>
      </c>
      <c r="G63" s="371"/>
      <c r="H63" s="374"/>
      <c r="I63" s="375"/>
      <c r="M63" s="377"/>
      <c r="N63" s="384"/>
      <c r="O63" s="385"/>
    </row>
    <row r="64" spans="1:15">
      <c r="A64" s="362"/>
      <c r="B64" s="365"/>
      <c r="C64" s="368"/>
      <c r="D64" s="98">
        <v>49</v>
      </c>
      <c r="E64" s="108">
        <v>1543</v>
      </c>
      <c r="G64" s="371"/>
      <c r="H64" s="374"/>
      <c r="I64" s="375"/>
      <c r="M64" s="377"/>
      <c r="N64" s="384"/>
      <c r="O64" s="385"/>
    </row>
    <row r="65" spans="1:15" ht="28">
      <c r="A65" s="362"/>
      <c r="B65" s="365"/>
      <c r="C65" s="368"/>
      <c r="D65" s="97" t="s">
        <v>11</v>
      </c>
      <c r="E65" s="107">
        <v>8165</v>
      </c>
      <c r="G65" s="116"/>
      <c r="H65" s="100"/>
      <c r="I65" s="117"/>
      <c r="M65" s="120"/>
      <c r="N65" s="95"/>
      <c r="O65" s="140"/>
    </row>
    <row r="66" spans="1:15">
      <c r="A66" s="362"/>
      <c r="B66" s="365"/>
      <c r="C66" s="368" t="s">
        <v>21</v>
      </c>
      <c r="D66" s="98">
        <v>50</v>
      </c>
      <c r="E66" s="108">
        <v>1519</v>
      </c>
      <c r="G66" s="370">
        <f>SUM('DF2018'!BI11:BK11)</f>
        <v>34</v>
      </c>
      <c r="H66" s="373">
        <f>E71</f>
        <v>7092</v>
      </c>
      <c r="I66" s="352">
        <f>J2*G66/H66</f>
        <v>47.941342357586009</v>
      </c>
      <c r="M66" s="376">
        <f>SUM('DF2018'!BI6:BK6)</f>
        <v>118</v>
      </c>
      <c r="N66" s="383">
        <f>Z5</f>
        <v>31199</v>
      </c>
      <c r="O66" s="385">
        <f>M66*J2/N66</f>
        <v>37.821725055290237</v>
      </c>
    </row>
    <row r="67" spans="1:15" ht="15">
      <c r="A67" s="362"/>
      <c r="B67" s="365"/>
      <c r="C67" s="368"/>
      <c r="D67" s="97">
        <v>51</v>
      </c>
      <c r="E67" s="107">
        <v>1432</v>
      </c>
      <c r="G67" s="371"/>
      <c r="H67" s="374"/>
      <c r="I67" s="353"/>
      <c r="M67" s="377"/>
      <c r="N67" s="384"/>
      <c r="O67" s="385"/>
    </row>
    <row r="68" spans="1:15">
      <c r="A68" s="362"/>
      <c r="B68" s="365"/>
      <c r="C68" s="368"/>
      <c r="D68" s="98">
        <v>52</v>
      </c>
      <c r="E68" s="108">
        <v>1432</v>
      </c>
      <c r="G68" s="371"/>
      <c r="H68" s="374"/>
      <c r="I68" s="353"/>
      <c r="M68" s="377"/>
      <c r="N68" s="384"/>
      <c r="O68" s="385"/>
    </row>
    <row r="69" spans="1:15" ht="15">
      <c r="A69" s="362"/>
      <c r="B69" s="365"/>
      <c r="C69" s="368"/>
      <c r="D69" s="97">
        <v>53</v>
      </c>
      <c r="E69" s="107">
        <v>1393</v>
      </c>
      <c r="G69" s="371"/>
      <c r="H69" s="374"/>
      <c r="I69" s="354"/>
      <c r="M69" s="377"/>
      <c r="N69" s="384"/>
      <c r="O69" s="385"/>
    </row>
    <row r="70" spans="1:15">
      <c r="A70" s="362"/>
      <c r="B70" s="365"/>
      <c r="C70" s="368"/>
      <c r="D70" s="98">
        <v>54</v>
      </c>
      <c r="E70" s="108">
        <v>1316</v>
      </c>
      <c r="G70" s="116"/>
      <c r="H70" s="100"/>
      <c r="I70" s="117"/>
      <c r="M70" s="377"/>
      <c r="N70" s="384"/>
      <c r="O70" s="385"/>
    </row>
    <row r="71" spans="1:15" ht="28">
      <c r="A71" s="362"/>
      <c r="B71" s="365"/>
      <c r="C71" s="368"/>
      <c r="D71" s="97" t="s">
        <v>11</v>
      </c>
      <c r="E71" s="107">
        <v>7092</v>
      </c>
      <c r="G71" s="116"/>
      <c r="H71" s="100"/>
      <c r="I71" s="117"/>
      <c r="M71" s="120"/>
      <c r="N71" s="95"/>
      <c r="O71" s="140"/>
    </row>
    <row r="72" spans="1:15">
      <c r="A72" s="362"/>
      <c r="B72" s="365"/>
      <c r="C72" s="368" t="s">
        <v>22</v>
      </c>
      <c r="D72" s="98">
        <v>55</v>
      </c>
      <c r="E72" s="108">
        <v>1371</v>
      </c>
      <c r="G72" s="370">
        <f>SUM('DF2018'!BL11:BN11)</f>
        <v>50</v>
      </c>
      <c r="H72" s="373">
        <f>E77</f>
        <v>6076</v>
      </c>
      <c r="I72" s="375">
        <f>J2*G72/H72</f>
        <v>82.290980908492429</v>
      </c>
      <c r="M72" s="376">
        <f>SUM('DF2018'!BL6:BN6)</f>
        <v>153</v>
      </c>
      <c r="N72" s="383">
        <f>AA5</f>
        <v>28693</v>
      </c>
      <c r="O72" s="385">
        <f>M72*J2/N72</f>
        <v>53.323110166242635</v>
      </c>
    </row>
    <row r="73" spans="1:15" ht="15">
      <c r="A73" s="362"/>
      <c r="B73" s="365"/>
      <c r="C73" s="368"/>
      <c r="D73" s="97">
        <v>56</v>
      </c>
      <c r="E73" s="107">
        <v>1214</v>
      </c>
      <c r="G73" s="371"/>
      <c r="H73" s="374"/>
      <c r="I73" s="375"/>
      <c r="M73" s="377"/>
      <c r="N73" s="384"/>
      <c r="O73" s="385"/>
    </row>
    <row r="74" spans="1:15">
      <c r="A74" s="362"/>
      <c r="B74" s="365"/>
      <c r="C74" s="368"/>
      <c r="D74" s="98">
        <v>57</v>
      </c>
      <c r="E74" s="108">
        <v>1218</v>
      </c>
      <c r="G74" s="371"/>
      <c r="H74" s="374"/>
      <c r="I74" s="375"/>
      <c r="M74" s="377"/>
      <c r="N74" s="384"/>
      <c r="O74" s="385"/>
    </row>
    <row r="75" spans="1:15" ht="15">
      <c r="A75" s="362"/>
      <c r="B75" s="365"/>
      <c r="C75" s="368"/>
      <c r="D75" s="97">
        <v>58</v>
      </c>
      <c r="E75" s="107">
        <v>1201</v>
      </c>
      <c r="G75" s="371"/>
      <c r="H75" s="374"/>
      <c r="I75" s="375"/>
      <c r="M75" s="377"/>
      <c r="N75" s="384"/>
      <c r="O75" s="385"/>
    </row>
    <row r="76" spans="1:15">
      <c r="A76" s="362"/>
      <c r="B76" s="365"/>
      <c r="C76" s="368"/>
      <c r="D76" s="98">
        <v>59</v>
      </c>
      <c r="E76" s="108">
        <v>1072</v>
      </c>
      <c r="G76" s="371"/>
      <c r="H76" s="374"/>
      <c r="I76" s="375"/>
      <c r="M76" s="377"/>
      <c r="N76" s="384"/>
      <c r="O76" s="385"/>
    </row>
    <row r="77" spans="1:15" ht="28">
      <c r="A77" s="362"/>
      <c r="B77" s="365"/>
      <c r="C77" s="368"/>
      <c r="D77" s="97" t="s">
        <v>11</v>
      </c>
      <c r="E77" s="107">
        <v>6076</v>
      </c>
      <c r="G77" s="116"/>
      <c r="H77" s="100"/>
      <c r="I77" s="117"/>
      <c r="M77" s="120"/>
      <c r="N77" s="95"/>
      <c r="O77" s="140"/>
    </row>
    <row r="78" spans="1:15">
      <c r="A78" s="362"/>
      <c r="B78" s="365"/>
      <c r="C78" s="368" t="s">
        <v>23</v>
      </c>
      <c r="D78" s="98">
        <v>60</v>
      </c>
      <c r="E78" s="108">
        <v>1161</v>
      </c>
      <c r="G78" s="370">
        <f>SUM('DF2018'!BO11:BQ11)</f>
        <v>56</v>
      </c>
      <c r="H78" s="373">
        <f>E83</f>
        <v>4541</v>
      </c>
      <c r="I78" s="375">
        <f>J2*G78/H78</f>
        <v>123.3208544373486</v>
      </c>
      <c r="M78" s="376">
        <f>SUM('DF2018'!BO6:BQ6)</f>
        <v>163</v>
      </c>
      <c r="N78" s="383">
        <f>AB5</f>
        <v>18965</v>
      </c>
      <c r="O78" s="385">
        <f>M78*J2/N78</f>
        <v>85.947798576324814</v>
      </c>
    </row>
    <row r="79" spans="1:15" ht="15">
      <c r="A79" s="362"/>
      <c r="B79" s="365"/>
      <c r="C79" s="368"/>
      <c r="D79" s="97">
        <v>61</v>
      </c>
      <c r="E79" s="107">
        <v>940</v>
      </c>
      <c r="G79" s="371"/>
      <c r="H79" s="374"/>
      <c r="I79" s="375"/>
      <c r="M79" s="377"/>
      <c r="N79" s="384"/>
      <c r="O79" s="385"/>
    </row>
    <row r="80" spans="1:15">
      <c r="A80" s="362"/>
      <c r="B80" s="365"/>
      <c r="C80" s="368"/>
      <c r="D80" s="98">
        <v>62</v>
      </c>
      <c r="E80" s="108">
        <v>875</v>
      </c>
      <c r="G80" s="371"/>
      <c r="H80" s="374"/>
      <c r="I80" s="375"/>
      <c r="M80" s="377"/>
      <c r="N80" s="384"/>
      <c r="O80" s="385"/>
    </row>
    <row r="81" spans="1:15" ht="15">
      <c r="A81" s="362"/>
      <c r="B81" s="365"/>
      <c r="C81" s="368"/>
      <c r="D81" s="97">
        <v>63</v>
      </c>
      <c r="E81" s="107">
        <v>878</v>
      </c>
      <c r="G81" s="371"/>
      <c r="H81" s="374"/>
      <c r="I81" s="375"/>
      <c r="M81" s="377"/>
      <c r="N81" s="384"/>
      <c r="O81" s="385"/>
    </row>
    <row r="82" spans="1:15">
      <c r="A82" s="362"/>
      <c r="B82" s="365"/>
      <c r="C82" s="368"/>
      <c r="D82" s="98">
        <v>64</v>
      </c>
      <c r="E82" s="108">
        <v>687</v>
      </c>
      <c r="G82" s="371"/>
      <c r="H82" s="374"/>
      <c r="I82" s="375"/>
      <c r="M82" s="377"/>
      <c r="N82" s="384"/>
      <c r="O82" s="385"/>
    </row>
    <row r="83" spans="1:15" ht="28">
      <c r="A83" s="362"/>
      <c r="B83" s="365"/>
      <c r="C83" s="368"/>
      <c r="D83" s="97" t="s">
        <v>11</v>
      </c>
      <c r="E83" s="107">
        <v>4541</v>
      </c>
      <c r="G83" s="116"/>
      <c r="H83" s="100"/>
      <c r="I83" s="117"/>
      <c r="M83" s="120"/>
      <c r="N83" s="95"/>
      <c r="O83" s="140"/>
    </row>
    <row r="84" spans="1:15">
      <c r="A84" s="362"/>
      <c r="B84" s="365"/>
      <c r="C84" s="368" t="s">
        <v>24</v>
      </c>
      <c r="D84" s="98">
        <v>65</v>
      </c>
      <c r="E84" s="108">
        <v>708</v>
      </c>
      <c r="G84" s="370">
        <f>SUM('DF2018'!BR11:BT11)</f>
        <v>68</v>
      </c>
      <c r="H84" s="373">
        <f>E89</f>
        <v>2986</v>
      </c>
      <c r="I84" s="375">
        <f>J2*G84/H84</f>
        <v>227.72940388479572</v>
      </c>
      <c r="M84" s="376">
        <f>SUM('DF2018'!BR6:BT6)</f>
        <v>196</v>
      </c>
      <c r="N84" s="383">
        <f>AC5</f>
        <v>14884</v>
      </c>
      <c r="O84" s="385">
        <f>M84*J2/N84</f>
        <v>131.68503090567052</v>
      </c>
    </row>
    <row r="85" spans="1:15" ht="15">
      <c r="A85" s="362"/>
      <c r="B85" s="365"/>
      <c r="C85" s="368"/>
      <c r="D85" s="97">
        <v>66</v>
      </c>
      <c r="E85" s="107">
        <v>648</v>
      </c>
      <c r="G85" s="371"/>
      <c r="H85" s="374"/>
      <c r="I85" s="375"/>
      <c r="M85" s="377"/>
      <c r="N85" s="384"/>
      <c r="O85" s="385"/>
    </row>
    <row r="86" spans="1:15">
      <c r="A86" s="362"/>
      <c r="B86" s="365"/>
      <c r="C86" s="368"/>
      <c r="D86" s="98">
        <v>67</v>
      </c>
      <c r="E86" s="108">
        <v>617</v>
      </c>
      <c r="G86" s="371"/>
      <c r="H86" s="374"/>
      <c r="I86" s="375"/>
      <c r="M86" s="377"/>
      <c r="N86" s="384"/>
      <c r="O86" s="385"/>
    </row>
    <row r="87" spans="1:15" ht="15">
      <c r="A87" s="362"/>
      <c r="B87" s="365"/>
      <c r="C87" s="368"/>
      <c r="D87" s="97">
        <v>68</v>
      </c>
      <c r="E87" s="107">
        <v>590</v>
      </c>
      <c r="G87" s="371"/>
      <c r="H87" s="374"/>
      <c r="I87" s="375"/>
      <c r="M87" s="377"/>
      <c r="N87" s="384"/>
      <c r="O87" s="385"/>
    </row>
    <row r="88" spans="1:15">
      <c r="A88" s="362"/>
      <c r="B88" s="365"/>
      <c r="C88" s="368"/>
      <c r="D88" s="98">
        <v>69</v>
      </c>
      <c r="E88" s="108">
        <v>423</v>
      </c>
      <c r="G88" s="371"/>
      <c r="H88" s="374"/>
      <c r="I88" s="375"/>
      <c r="M88" s="377"/>
      <c r="N88" s="384"/>
      <c r="O88" s="385"/>
    </row>
    <row r="89" spans="1:15" ht="28">
      <c r="A89" s="362"/>
      <c r="B89" s="365"/>
      <c r="C89" s="368"/>
      <c r="D89" s="97" t="s">
        <v>11</v>
      </c>
      <c r="E89" s="107">
        <v>2986</v>
      </c>
      <c r="G89" s="116"/>
      <c r="H89" s="100"/>
      <c r="I89" s="117"/>
      <c r="M89" s="120"/>
      <c r="N89" s="95"/>
      <c r="O89" s="140"/>
    </row>
    <row r="90" spans="1:15">
      <c r="A90" s="362"/>
      <c r="B90" s="365"/>
      <c r="C90" s="368" t="s">
        <v>25</v>
      </c>
      <c r="D90" s="98">
        <v>70</v>
      </c>
      <c r="E90" s="108">
        <v>556</v>
      </c>
      <c r="G90" s="370">
        <f>SUM('DF2018'!BU11:BW11)</f>
        <v>58</v>
      </c>
      <c r="H90" s="373">
        <f>E95</f>
        <v>2027</v>
      </c>
      <c r="I90" s="375">
        <f>J2*G90/H90</f>
        <v>286.13714849531328</v>
      </c>
      <c r="M90" s="376">
        <f>SUM('DF2018'!BU6:BW6)</f>
        <v>176</v>
      </c>
      <c r="N90" s="383">
        <f>AD5</f>
        <v>10026</v>
      </c>
      <c r="O90" s="385">
        <f>M90*J2/N90</f>
        <v>175.54358667464592</v>
      </c>
    </row>
    <row r="91" spans="1:15" ht="15">
      <c r="A91" s="362"/>
      <c r="B91" s="365"/>
      <c r="C91" s="368"/>
      <c r="D91" s="97">
        <v>71</v>
      </c>
      <c r="E91" s="107">
        <v>402</v>
      </c>
      <c r="G91" s="371"/>
      <c r="H91" s="374"/>
      <c r="I91" s="375"/>
      <c r="M91" s="377"/>
      <c r="N91" s="384"/>
      <c r="O91" s="385"/>
    </row>
    <row r="92" spans="1:15">
      <c r="A92" s="362"/>
      <c r="B92" s="365"/>
      <c r="C92" s="368"/>
      <c r="D92" s="98">
        <v>72</v>
      </c>
      <c r="E92" s="108">
        <v>377</v>
      </c>
      <c r="G92" s="371"/>
      <c r="H92" s="374"/>
      <c r="I92" s="375"/>
      <c r="M92" s="377"/>
      <c r="N92" s="384"/>
      <c r="O92" s="385"/>
    </row>
    <row r="93" spans="1:15" ht="15">
      <c r="A93" s="362"/>
      <c r="B93" s="365"/>
      <c r="C93" s="368"/>
      <c r="D93" s="97">
        <v>73</v>
      </c>
      <c r="E93" s="107">
        <v>367</v>
      </c>
      <c r="G93" s="371"/>
      <c r="H93" s="374"/>
      <c r="I93" s="375"/>
      <c r="M93" s="377"/>
      <c r="N93" s="384"/>
      <c r="O93" s="385"/>
    </row>
    <row r="94" spans="1:15">
      <c r="A94" s="362"/>
      <c r="B94" s="365"/>
      <c r="C94" s="368"/>
      <c r="D94" s="98">
        <v>74</v>
      </c>
      <c r="E94" s="108">
        <v>325</v>
      </c>
      <c r="G94" s="371"/>
      <c r="H94" s="374"/>
      <c r="I94" s="375"/>
      <c r="M94" s="377"/>
      <c r="N94" s="384"/>
      <c r="O94" s="385"/>
    </row>
    <row r="95" spans="1:15" ht="28">
      <c r="A95" s="362"/>
      <c r="B95" s="365"/>
      <c r="C95" s="368"/>
      <c r="D95" s="97" t="s">
        <v>11</v>
      </c>
      <c r="E95" s="107">
        <v>2027</v>
      </c>
      <c r="G95" s="116"/>
      <c r="H95" s="100"/>
      <c r="I95" s="117"/>
      <c r="M95" s="120"/>
      <c r="N95" s="95"/>
      <c r="O95" s="140"/>
    </row>
    <row r="96" spans="1:15">
      <c r="A96" s="362"/>
      <c r="B96" s="365"/>
      <c r="C96" s="368" t="s">
        <v>26</v>
      </c>
      <c r="D96" s="98">
        <v>75</v>
      </c>
      <c r="E96" s="108">
        <v>286</v>
      </c>
      <c r="G96" s="370">
        <f>SUM('DF2018'!BX11:BZ11)</f>
        <v>68</v>
      </c>
      <c r="H96" s="373">
        <f>E101</f>
        <v>1352</v>
      </c>
      <c r="I96" s="375">
        <f>J2*G96/H96</f>
        <v>502.95857988165682</v>
      </c>
      <c r="M96" s="376">
        <f>SUM('DF2018'!BX6:BZ6)</f>
        <v>199</v>
      </c>
      <c r="N96" s="383">
        <f>AE5</f>
        <v>7352</v>
      </c>
      <c r="O96" s="385">
        <f>M96*J2/N96</f>
        <v>270.6746463547334</v>
      </c>
    </row>
    <row r="97" spans="1:15" ht="15">
      <c r="A97" s="362"/>
      <c r="B97" s="365"/>
      <c r="C97" s="368"/>
      <c r="D97" s="97">
        <v>76</v>
      </c>
      <c r="E97" s="107">
        <v>247</v>
      </c>
      <c r="G97" s="371"/>
      <c r="H97" s="374"/>
      <c r="I97" s="375"/>
      <c r="M97" s="377"/>
      <c r="N97" s="384"/>
      <c r="O97" s="385"/>
    </row>
    <row r="98" spans="1:15">
      <c r="A98" s="362"/>
      <c r="B98" s="365"/>
      <c r="C98" s="368"/>
      <c r="D98" s="98">
        <v>77</v>
      </c>
      <c r="E98" s="108">
        <v>311</v>
      </c>
      <c r="G98" s="371"/>
      <c r="H98" s="374"/>
      <c r="I98" s="375"/>
      <c r="M98" s="377"/>
      <c r="N98" s="384"/>
      <c r="O98" s="385"/>
    </row>
    <row r="99" spans="1:15" ht="15">
      <c r="A99" s="362"/>
      <c r="B99" s="365"/>
      <c r="C99" s="368"/>
      <c r="D99" s="97">
        <v>78</v>
      </c>
      <c r="E99" s="107">
        <v>280</v>
      </c>
      <c r="G99" s="371"/>
      <c r="H99" s="374"/>
      <c r="I99" s="375"/>
      <c r="M99" s="377"/>
      <c r="N99" s="384"/>
      <c r="O99" s="385"/>
    </row>
    <row r="100" spans="1:15">
      <c r="A100" s="362"/>
      <c r="B100" s="365"/>
      <c r="C100" s="368"/>
      <c r="D100" s="98">
        <v>79</v>
      </c>
      <c r="E100" s="108">
        <v>228</v>
      </c>
      <c r="G100" s="371"/>
      <c r="H100" s="374"/>
      <c r="I100" s="375"/>
      <c r="M100" s="377"/>
      <c r="N100" s="384"/>
      <c r="O100" s="385"/>
    </row>
    <row r="101" spans="1:15" ht="28">
      <c r="A101" s="362"/>
      <c r="B101" s="365"/>
      <c r="C101" s="368"/>
      <c r="D101" s="97" t="s">
        <v>11</v>
      </c>
      <c r="E101" s="107">
        <v>1352</v>
      </c>
      <c r="G101" s="116"/>
      <c r="H101" s="100"/>
      <c r="I101" s="117"/>
      <c r="M101" s="120"/>
      <c r="N101" s="95"/>
      <c r="O101" s="140"/>
    </row>
    <row r="102" spans="1:15">
      <c r="A102" s="362"/>
      <c r="B102" s="365"/>
      <c r="C102" s="368" t="s">
        <v>27</v>
      </c>
      <c r="D102" s="98">
        <v>80</v>
      </c>
      <c r="E102" s="108">
        <v>233</v>
      </c>
      <c r="G102" s="370">
        <f>SUM('DF2018'!CA11:CC11)</f>
        <v>64</v>
      </c>
      <c r="H102" s="373">
        <f>E107</f>
        <v>856</v>
      </c>
      <c r="I102" s="375">
        <f>J2*G102/H102</f>
        <v>747.6635514018692</v>
      </c>
      <c r="M102" s="376">
        <f>SUM('DF2018'!CA6:CC6)</f>
        <v>225</v>
      </c>
      <c r="N102" s="383">
        <f>AF5</f>
        <v>4340</v>
      </c>
      <c r="O102" s="385">
        <f>M102*J2/N102</f>
        <v>518.43317972350235</v>
      </c>
    </row>
    <row r="103" spans="1:15" ht="15">
      <c r="A103" s="362"/>
      <c r="B103" s="365"/>
      <c r="C103" s="368"/>
      <c r="D103" s="97">
        <v>81</v>
      </c>
      <c r="E103" s="107">
        <v>148</v>
      </c>
      <c r="G103" s="371"/>
      <c r="H103" s="374"/>
      <c r="I103" s="375"/>
      <c r="M103" s="377"/>
      <c r="N103" s="384"/>
      <c r="O103" s="385"/>
    </row>
    <row r="104" spans="1:15">
      <c r="A104" s="362"/>
      <c r="B104" s="365"/>
      <c r="C104" s="368"/>
      <c r="D104" s="98">
        <v>82</v>
      </c>
      <c r="E104" s="108">
        <v>179</v>
      </c>
      <c r="G104" s="371"/>
      <c r="H104" s="374"/>
      <c r="I104" s="375"/>
      <c r="M104" s="377"/>
      <c r="N104" s="384"/>
      <c r="O104" s="385"/>
    </row>
    <row r="105" spans="1:15" ht="15">
      <c r="A105" s="362"/>
      <c r="B105" s="365"/>
      <c r="C105" s="368"/>
      <c r="D105" s="97">
        <v>83</v>
      </c>
      <c r="E105" s="107">
        <v>155</v>
      </c>
      <c r="G105" s="371"/>
      <c r="H105" s="374"/>
      <c r="I105" s="375"/>
      <c r="M105" s="377"/>
      <c r="N105" s="384"/>
      <c r="O105" s="385"/>
    </row>
    <row r="106" spans="1:15">
      <c r="A106" s="362"/>
      <c r="B106" s="365"/>
      <c r="C106" s="368"/>
      <c r="D106" s="98">
        <v>84</v>
      </c>
      <c r="E106" s="108">
        <v>141</v>
      </c>
      <c r="G106" s="371"/>
      <c r="H106" s="374"/>
      <c r="I106" s="375"/>
      <c r="M106" s="377"/>
      <c r="N106" s="384"/>
      <c r="O106" s="385"/>
    </row>
    <row r="107" spans="1:15" ht="28">
      <c r="A107" s="362"/>
      <c r="B107" s="365"/>
      <c r="C107" s="368"/>
      <c r="D107" s="97" t="s">
        <v>11</v>
      </c>
      <c r="E107" s="107">
        <v>856</v>
      </c>
      <c r="G107" s="116"/>
      <c r="H107" s="100"/>
      <c r="I107" s="117"/>
      <c r="M107" s="120"/>
      <c r="N107" s="95"/>
      <c r="O107" s="140"/>
    </row>
    <row r="108" spans="1:15">
      <c r="A108" s="362"/>
      <c r="B108" s="365"/>
      <c r="C108" s="368" t="s">
        <v>28</v>
      </c>
      <c r="D108" s="98">
        <v>85</v>
      </c>
      <c r="E108" s="108">
        <v>113</v>
      </c>
      <c r="G108" s="370">
        <f>SUM('DF2018'!CD11:CF11)</f>
        <v>37</v>
      </c>
      <c r="H108" s="373">
        <f>E113</f>
        <v>439</v>
      </c>
      <c r="I108" s="375">
        <f>J2*G108/H108</f>
        <v>842.82460136674263</v>
      </c>
      <c r="M108" s="376">
        <f>SUM('DF2018'!CD6:CF6)</f>
        <v>149</v>
      </c>
      <c r="N108" s="383">
        <f>AG5</f>
        <v>2595</v>
      </c>
      <c r="O108" s="385">
        <f>M108*J2/N108</f>
        <v>574.18111753371863</v>
      </c>
    </row>
    <row r="109" spans="1:15" ht="15">
      <c r="A109" s="362"/>
      <c r="B109" s="365"/>
      <c r="C109" s="368"/>
      <c r="D109" s="97">
        <v>86</v>
      </c>
      <c r="E109" s="107">
        <v>78</v>
      </c>
      <c r="G109" s="371"/>
      <c r="H109" s="374"/>
      <c r="I109" s="375"/>
      <c r="M109" s="377"/>
      <c r="N109" s="384"/>
      <c r="O109" s="385"/>
    </row>
    <row r="110" spans="1:15">
      <c r="A110" s="362"/>
      <c r="B110" s="365"/>
      <c r="C110" s="368"/>
      <c r="D110" s="98">
        <v>87</v>
      </c>
      <c r="E110" s="108">
        <v>107</v>
      </c>
      <c r="G110" s="371"/>
      <c r="H110" s="374"/>
      <c r="I110" s="375"/>
      <c r="M110" s="377"/>
      <c r="N110" s="384"/>
      <c r="O110" s="385"/>
    </row>
    <row r="111" spans="1:15" ht="15">
      <c r="A111" s="362"/>
      <c r="B111" s="365"/>
      <c r="C111" s="368"/>
      <c r="D111" s="97">
        <v>88</v>
      </c>
      <c r="E111" s="107">
        <v>75</v>
      </c>
      <c r="G111" s="371"/>
      <c r="H111" s="374"/>
      <c r="I111" s="375"/>
      <c r="M111" s="377"/>
      <c r="N111" s="384"/>
      <c r="O111" s="385"/>
    </row>
    <row r="112" spans="1:15">
      <c r="A112" s="362"/>
      <c r="B112" s="365"/>
      <c r="C112" s="368"/>
      <c r="D112" s="98">
        <v>89</v>
      </c>
      <c r="E112" s="108">
        <v>66</v>
      </c>
      <c r="G112" s="371"/>
      <c r="H112" s="374"/>
      <c r="I112" s="375"/>
      <c r="M112" s="377"/>
      <c r="N112" s="384"/>
      <c r="O112" s="385"/>
    </row>
    <row r="113" spans="1:15" ht="28">
      <c r="A113" s="362"/>
      <c r="B113" s="365"/>
      <c r="C113" s="368"/>
      <c r="D113" s="97" t="s">
        <v>11</v>
      </c>
      <c r="E113" s="107">
        <v>439</v>
      </c>
      <c r="G113" s="116"/>
      <c r="H113" s="100"/>
      <c r="I113" s="117"/>
      <c r="M113" s="120"/>
      <c r="N113" s="95"/>
      <c r="O113" s="140"/>
    </row>
    <row r="114" spans="1:15">
      <c r="A114" s="362"/>
      <c r="B114" s="365"/>
      <c r="C114" s="368" t="s">
        <v>29</v>
      </c>
      <c r="D114" s="98">
        <v>90</v>
      </c>
      <c r="E114" s="108">
        <v>64</v>
      </c>
      <c r="G114" s="370">
        <f>SUM('DF2018'!CG11:CI11)</f>
        <v>32</v>
      </c>
      <c r="H114" s="373">
        <f>E119</f>
        <v>199</v>
      </c>
      <c r="I114" s="375">
        <f>J2*G114/H114</f>
        <v>1608.0402010050252</v>
      </c>
      <c r="M114" s="376">
        <f>SUM('DF2018'!CG6:CI6)</f>
        <v>93</v>
      </c>
      <c r="N114" s="383">
        <f>AH5</f>
        <v>1184</v>
      </c>
      <c r="O114" s="385">
        <f>M114*J2/N114</f>
        <v>785.47297297297303</v>
      </c>
    </row>
    <row r="115" spans="1:15" ht="15">
      <c r="A115" s="362"/>
      <c r="B115" s="365"/>
      <c r="C115" s="368"/>
      <c r="D115" s="97">
        <v>91</v>
      </c>
      <c r="E115" s="107">
        <v>39</v>
      </c>
      <c r="G115" s="371"/>
      <c r="H115" s="374"/>
      <c r="I115" s="375"/>
      <c r="M115" s="377"/>
      <c r="N115" s="384"/>
      <c r="O115" s="385"/>
    </row>
    <row r="116" spans="1:15">
      <c r="A116" s="362"/>
      <c r="B116" s="365"/>
      <c r="C116" s="368"/>
      <c r="D116" s="98">
        <v>92</v>
      </c>
      <c r="E116" s="108">
        <v>40</v>
      </c>
      <c r="G116" s="371"/>
      <c r="H116" s="374"/>
      <c r="I116" s="375"/>
      <c r="M116" s="377"/>
      <c r="N116" s="384"/>
      <c r="O116" s="385"/>
    </row>
    <row r="117" spans="1:15" ht="15">
      <c r="A117" s="362"/>
      <c r="B117" s="365"/>
      <c r="C117" s="368"/>
      <c r="D117" s="97">
        <v>93</v>
      </c>
      <c r="E117" s="107">
        <v>29</v>
      </c>
      <c r="G117" s="371"/>
      <c r="H117" s="374"/>
      <c r="I117" s="375"/>
      <c r="M117" s="377"/>
      <c r="N117" s="384"/>
      <c r="O117" s="385"/>
    </row>
    <row r="118" spans="1:15">
      <c r="A118" s="362"/>
      <c r="B118" s="365"/>
      <c r="C118" s="368"/>
      <c r="D118" s="98">
        <v>94</v>
      </c>
      <c r="E118" s="108">
        <v>27</v>
      </c>
      <c r="G118" s="371"/>
      <c r="H118" s="374"/>
      <c r="I118" s="375"/>
      <c r="M118" s="377"/>
      <c r="N118" s="384"/>
      <c r="O118" s="385"/>
    </row>
    <row r="119" spans="1:15" ht="28">
      <c r="A119" s="362"/>
      <c r="B119" s="365"/>
      <c r="C119" s="368"/>
      <c r="D119" s="97" t="s">
        <v>11</v>
      </c>
      <c r="E119" s="107">
        <v>199</v>
      </c>
      <c r="G119" s="116"/>
      <c r="H119" s="100"/>
      <c r="I119" s="117"/>
      <c r="M119" s="120"/>
      <c r="N119" s="95"/>
      <c r="O119" s="140"/>
    </row>
    <row r="120" spans="1:15">
      <c r="A120" s="362"/>
      <c r="B120" s="365"/>
      <c r="C120" s="368" t="s">
        <v>30</v>
      </c>
      <c r="D120" s="98">
        <v>95</v>
      </c>
      <c r="E120" s="108">
        <v>26</v>
      </c>
      <c r="G120" s="370">
        <f>SUM('DF2018'!CJ11:CL11)</f>
        <v>16</v>
      </c>
      <c r="H120" s="373">
        <f>E125</f>
        <v>85</v>
      </c>
      <c r="I120" s="375">
        <f>J2*G120/H120</f>
        <v>1882.3529411764705</v>
      </c>
      <c r="M120" s="376">
        <f>SUM('DF2018'!CJ6:CL6)</f>
        <v>64</v>
      </c>
      <c r="N120" s="383">
        <f>AI5</f>
        <v>510</v>
      </c>
      <c r="O120" s="385">
        <f>M120*J2/N120</f>
        <v>1254.9019607843138</v>
      </c>
    </row>
    <row r="121" spans="1:15" ht="15">
      <c r="A121" s="362"/>
      <c r="B121" s="365"/>
      <c r="C121" s="368"/>
      <c r="D121" s="97">
        <v>96</v>
      </c>
      <c r="E121" s="107">
        <v>15</v>
      </c>
      <c r="G121" s="371"/>
      <c r="H121" s="374"/>
      <c r="I121" s="375"/>
      <c r="M121" s="377"/>
      <c r="N121" s="384"/>
      <c r="O121" s="385"/>
    </row>
    <row r="122" spans="1:15">
      <c r="A122" s="362"/>
      <c r="B122" s="365"/>
      <c r="C122" s="368"/>
      <c r="D122" s="98">
        <v>97</v>
      </c>
      <c r="E122" s="108">
        <v>16</v>
      </c>
      <c r="G122" s="371"/>
      <c r="H122" s="374"/>
      <c r="I122" s="375"/>
      <c r="M122" s="377"/>
      <c r="N122" s="384"/>
      <c r="O122" s="385"/>
    </row>
    <row r="123" spans="1:15" ht="15">
      <c r="A123" s="362"/>
      <c r="B123" s="365"/>
      <c r="C123" s="368"/>
      <c r="D123" s="97">
        <v>98</v>
      </c>
      <c r="E123" s="107">
        <v>14</v>
      </c>
      <c r="G123" s="371"/>
      <c r="H123" s="374"/>
      <c r="I123" s="375"/>
      <c r="M123" s="377"/>
      <c r="N123" s="384"/>
      <c r="O123" s="385"/>
    </row>
    <row r="124" spans="1:15">
      <c r="A124" s="362"/>
      <c r="B124" s="365"/>
      <c r="C124" s="368"/>
      <c r="D124" s="98">
        <v>99</v>
      </c>
      <c r="E124" s="108">
        <v>14</v>
      </c>
      <c r="G124" s="371"/>
      <c r="H124" s="374"/>
      <c r="I124" s="375"/>
      <c r="M124" s="377"/>
      <c r="N124" s="384"/>
      <c r="O124" s="385"/>
    </row>
    <row r="125" spans="1:15" ht="28">
      <c r="A125" s="362"/>
      <c r="B125" s="365"/>
      <c r="C125" s="368"/>
      <c r="D125" s="97" t="s">
        <v>11</v>
      </c>
      <c r="E125" s="107">
        <v>85</v>
      </c>
      <c r="G125" s="116"/>
      <c r="H125" s="100"/>
      <c r="I125" s="117"/>
      <c r="M125" s="121"/>
      <c r="O125" s="141"/>
    </row>
    <row r="126" spans="1:15">
      <c r="A126" s="362"/>
      <c r="B126" s="365"/>
      <c r="C126" s="368" t="s">
        <v>31</v>
      </c>
      <c r="D126" s="98">
        <v>100</v>
      </c>
      <c r="E126" s="108">
        <v>8</v>
      </c>
      <c r="G126" s="370">
        <f>SUM('DF2018'!CM11:CO11)</f>
        <v>5</v>
      </c>
      <c r="H126" s="373">
        <f>SUM(E131,E134,E140,E138)</f>
        <v>29</v>
      </c>
      <c r="I126" s="375">
        <f>J2*G126/H126</f>
        <v>1724.1379310344828</v>
      </c>
      <c r="M126" s="380">
        <f>SUM('DF2018'!CM6:CR6)</f>
        <v>17</v>
      </c>
      <c r="N126" s="398">
        <f>AJ5</f>
        <v>217</v>
      </c>
      <c r="O126" s="386">
        <f>M126*J2/N126</f>
        <v>783.41013824884794</v>
      </c>
    </row>
    <row r="127" spans="1:15" ht="15">
      <c r="A127" s="362"/>
      <c r="B127" s="365"/>
      <c r="C127" s="368"/>
      <c r="D127" s="97">
        <v>101</v>
      </c>
      <c r="E127" s="107">
        <v>6</v>
      </c>
      <c r="G127" s="371"/>
      <c r="H127" s="374"/>
      <c r="I127" s="375"/>
      <c r="M127" s="381"/>
      <c r="N127" s="399"/>
      <c r="O127" s="386"/>
    </row>
    <row r="128" spans="1:15">
      <c r="A128" s="362"/>
      <c r="B128" s="365"/>
      <c r="C128" s="368"/>
      <c r="D128" s="98">
        <v>102</v>
      </c>
      <c r="E128" s="108">
        <v>3</v>
      </c>
      <c r="G128" s="371"/>
      <c r="H128" s="374"/>
      <c r="I128" s="375"/>
      <c r="M128" s="381"/>
      <c r="N128" s="399"/>
      <c r="O128" s="386"/>
    </row>
    <row r="129" spans="1:15" ht="15">
      <c r="A129" s="362"/>
      <c r="B129" s="365"/>
      <c r="C129" s="368"/>
      <c r="D129" s="97">
        <v>103</v>
      </c>
      <c r="E129" s="107">
        <v>2</v>
      </c>
      <c r="G129" s="371"/>
      <c r="H129" s="374"/>
      <c r="I129" s="375"/>
      <c r="M129" s="381"/>
      <c r="N129" s="399"/>
      <c r="O129" s="386"/>
    </row>
    <row r="130" spans="1:15">
      <c r="A130" s="362"/>
      <c r="B130" s="365"/>
      <c r="C130" s="368"/>
      <c r="D130" s="98">
        <v>104</v>
      </c>
      <c r="E130" s="108">
        <v>1</v>
      </c>
      <c r="G130" s="371"/>
      <c r="H130" s="374"/>
      <c r="I130" s="375"/>
      <c r="M130" s="381"/>
      <c r="N130" s="399"/>
      <c r="O130" s="386"/>
    </row>
    <row r="131" spans="1:15" ht="28">
      <c r="A131" s="362"/>
      <c r="B131" s="365"/>
      <c r="C131" s="368"/>
      <c r="D131" s="97" t="s">
        <v>11</v>
      </c>
      <c r="E131" s="107">
        <v>20</v>
      </c>
      <c r="G131" s="371"/>
      <c r="H131" s="374"/>
      <c r="I131" s="375"/>
      <c r="M131" s="381"/>
      <c r="N131" s="399"/>
      <c r="O131" s="386"/>
    </row>
    <row r="132" spans="1:15">
      <c r="A132" s="362"/>
      <c r="B132" s="365"/>
      <c r="C132" s="368" t="s">
        <v>32</v>
      </c>
      <c r="D132" s="98">
        <v>105</v>
      </c>
      <c r="E132" s="108">
        <v>2</v>
      </c>
      <c r="G132" s="371"/>
      <c r="H132" s="374"/>
      <c r="I132" s="375"/>
      <c r="M132" s="381"/>
      <c r="N132" s="399"/>
      <c r="O132" s="386"/>
    </row>
    <row r="133" spans="1:15" ht="15">
      <c r="A133" s="362"/>
      <c r="B133" s="365"/>
      <c r="C133" s="368"/>
      <c r="D133" s="97">
        <v>106</v>
      </c>
      <c r="E133" s="107">
        <v>2</v>
      </c>
      <c r="G133" s="371"/>
      <c r="H133" s="374"/>
      <c r="I133" s="375"/>
      <c r="M133" s="381"/>
      <c r="N133" s="399"/>
      <c r="O133" s="386"/>
    </row>
    <row r="134" spans="1:15" ht="28">
      <c r="A134" s="362"/>
      <c r="B134" s="365"/>
      <c r="C134" s="368"/>
      <c r="D134" s="98" t="s">
        <v>11</v>
      </c>
      <c r="E134" s="108">
        <v>4</v>
      </c>
      <c r="G134" s="371"/>
      <c r="H134" s="374"/>
      <c r="I134" s="375"/>
      <c r="M134" s="381"/>
      <c r="N134" s="399"/>
      <c r="O134" s="386"/>
    </row>
    <row r="135" spans="1:15" ht="15">
      <c r="A135" s="362"/>
      <c r="B135" s="365"/>
      <c r="C135" s="368" t="s">
        <v>33</v>
      </c>
      <c r="D135" s="97">
        <v>111</v>
      </c>
      <c r="E135" s="107">
        <v>2</v>
      </c>
      <c r="G135" s="371"/>
      <c r="H135" s="374"/>
      <c r="I135" s="375"/>
      <c r="M135" s="381"/>
      <c r="N135" s="399"/>
      <c r="O135" s="386"/>
    </row>
    <row r="136" spans="1:15">
      <c r="A136" s="362"/>
      <c r="B136" s="365"/>
      <c r="C136" s="368"/>
      <c r="D136" s="98">
        <v>113</v>
      </c>
      <c r="E136" s="108">
        <v>1</v>
      </c>
      <c r="G136" s="371"/>
      <c r="H136" s="374"/>
      <c r="I136" s="375"/>
      <c r="M136" s="381"/>
      <c r="N136" s="399"/>
      <c r="O136" s="386"/>
    </row>
    <row r="137" spans="1:15" ht="15">
      <c r="A137" s="362"/>
      <c r="B137" s="365"/>
      <c r="C137" s="368"/>
      <c r="D137" s="97">
        <v>114</v>
      </c>
      <c r="E137" s="107">
        <v>1</v>
      </c>
      <c r="G137" s="371"/>
      <c r="H137" s="374"/>
      <c r="I137" s="375"/>
      <c r="M137" s="381"/>
      <c r="N137" s="399"/>
      <c r="O137" s="386"/>
    </row>
    <row r="138" spans="1:15" ht="28">
      <c r="A138" s="362"/>
      <c r="B138" s="365"/>
      <c r="C138" s="368"/>
      <c r="D138" s="98" t="s">
        <v>11</v>
      </c>
      <c r="E138" s="108">
        <v>4</v>
      </c>
      <c r="G138" s="371"/>
      <c r="H138" s="374"/>
      <c r="I138" s="375"/>
      <c r="M138" s="381"/>
      <c r="N138" s="399"/>
      <c r="O138" s="386"/>
    </row>
    <row r="139" spans="1:15" ht="15">
      <c r="A139" s="362"/>
      <c r="B139" s="365"/>
      <c r="C139" s="368" t="s">
        <v>34</v>
      </c>
      <c r="D139" s="97">
        <v>119</v>
      </c>
      <c r="E139" s="107">
        <v>1</v>
      </c>
      <c r="G139" s="371"/>
      <c r="H139" s="374"/>
      <c r="I139" s="375"/>
      <c r="M139" s="381"/>
      <c r="N139" s="399"/>
      <c r="O139" s="386"/>
    </row>
    <row r="140" spans="1:15" ht="28.5" thickBot="1">
      <c r="A140" s="362"/>
      <c r="B140" s="365"/>
      <c r="C140" s="368"/>
      <c r="D140" s="98" t="s">
        <v>11</v>
      </c>
      <c r="E140" s="108">
        <v>1</v>
      </c>
      <c r="G140" s="372"/>
      <c r="H140" s="378"/>
      <c r="I140" s="379"/>
      <c r="M140" s="382"/>
      <c r="N140" s="400"/>
      <c r="O140" s="387"/>
    </row>
    <row r="141" spans="1:15" ht="15">
      <c r="A141" s="362"/>
      <c r="B141" s="365" t="s">
        <v>101</v>
      </c>
      <c r="C141" s="368" t="s">
        <v>10</v>
      </c>
      <c r="D141" s="97">
        <v>0</v>
      </c>
      <c r="E141" s="107">
        <v>617</v>
      </c>
    </row>
    <row r="142" spans="1:15">
      <c r="A142" s="362"/>
      <c r="B142" s="365"/>
      <c r="C142" s="368"/>
      <c r="D142" s="98">
        <v>1</v>
      </c>
      <c r="E142" s="108">
        <v>659</v>
      </c>
    </row>
    <row r="143" spans="1:15" ht="15">
      <c r="A143" s="362"/>
      <c r="B143" s="365"/>
      <c r="C143" s="368"/>
      <c r="D143" s="97">
        <v>2</v>
      </c>
      <c r="E143" s="107">
        <v>601</v>
      </c>
    </row>
    <row r="144" spans="1:15">
      <c r="A144" s="362"/>
      <c r="B144" s="365"/>
      <c r="C144" s="368"/>
      <c r="D144" s="98">
        <v>3</v>
      </c>
      <c r="E144" s="108">
        <v>685</v>
      </c>
    </row>
    <row r="145" spans="1:5" ht="15">
      <c r="A145" s="362"/>
      <c r="B145" s="365"/>
      <c r="C145" s="368"/>
      <c r="D145" s="97">
        <v>4</v>
      </c>
      <c r="E145" s="107">
        <v>595</v>
      </c>
    </row>
    <row r="146" spans="1:5" ht="28">
      <c r="A146" s="362"/>
      <c r="B146" s="365"/>
      <c r="C146" s="368"/>
      <c r="D146" s="98" t="s">
        <v>11</v>
      </c>
      <c r="E146" s="108">
        <v>3157</v>
      </c>
    </row>
    <row r="147" spans="1:5" ht="15">
      <c r="A147" s="362"/>
      <c r="B147" s="365"/>
      <c r="C147" s="368" t="s">
        <v>12</v>
      </c>
      <c r="D147" s="97">
        <v>5</v>
      </c>
      <c r="E147" s="107">
        <v>648</v>
      </c>
    </row>
    <row r="148" spans="1:5">
      <c r="A148" s="362"/>
      <c r="B148" s="365"/>
      <c r="C148" s="368"/>
      <c r="D148" s="98">
        <v>6</v>
      </c>
      <c r="E148" s="108">
        <v>692</v>
      </c>
    </row>
    <row r="149" spans="1:5" ht="15">
      <c r="A149" s="362"/>
      <c r="B149" s="365"/>
      <c r="C149" s="368"/>
      <c r="D149" s="97">
        <v>7</v>
      </c>
      <c r="E149" s="107">
        <v>667</v>
      </c>
    </row>
    <row r="150" spans="1:5">
      <c r="A150" s="362"/>
      <c r="B150" s="365"/>
      <c r="C150" s="368"/>
      <c r="D150" s="98">
        <v>8</v>
      </c>
      <c r="E150" s="108">
        <v>607</v>
      </c>
    </row>
    <row r="151" spans="1:5" ht="15">
      <c r="A151" s="362"/>
      <c r="B151" s="365"/>
      <c r="C151" s="368"/>
      <c r="D151" s="97">
        <v>9</v>
      </c>
      <c r="E151" s="107">
        <v>614</v>
      </c>
    </row>
    <row r="152" spans="1:5" ht="28">
      <c r="A152" s="362"/>
      <c r="B152" s="365"/>
      <c r="C152" s="368"/>
      <c r="D152" s="98" t="s">
        <v>11</v>
      </c>
      <c r="E152" s="108">
        <v>3228</v>
      </c>
    </row>
    <row r="153" spans="1:5" ht="15">
      <c r="A153" s="362"/>
      <c r="B153" s="365"/>
      <c r="C153" s="368" t="s">
        <v>13</v>
      </c>
      <c r="D153" s="97">
        <v>10</v>
      </c>
      <c r="E153" s="107">
        <v>630</v>
      </c>
    </row>
    <row r="154" spans="1:5">
      <c r="A154" s="362"/>
      <c r="B154" s="365"/>
      <c r="C154" s="368"/>
      <c r="D154" s="98">
        <v>11</v>
      </c>
      <c r="E154" s="108">
        <v>581</v>
      </c>
    </row>
    <row r="155" spans="1:5" ht="15">
      <c r="A155" s="362"/>
      <c r="B155" s="365"/>
      <c r="C155" s="368"/>
      <c r="D155" s="97">
        <v>12</v>
      </c>
      <c r="E155" s="107">
        <v>585</v>
      </c>
    </row>
    <row r="156" spans="1:5">
      <c r="A156" s="362"/>
      <c r="B156" s="365"/>
      <c r="C156" s="368"/>
      <c r="D156" s="98">
        <v>13</v>
      </c>
      <c r="E156" s="108">
        <v>611</v>
      </c>
    </row>
    <row r="157" spans="1:5" ht="15">
      <c r="A157" s="362"/>
      <c r="B157" s="365"/>
      <c r="C157" s="368"/>
      <c r="D157" s="97">
        <v>14</v>
      </c>
      <c r="E157" s="107">
        <v>607</v>
      </c>
    </row>
    <row r="158" spans="1:5" ht="28">
      <c r="A158" s="362"/>
      <c r="B158" s="365"/>
      <c r="C158" s="368"/>
      <c r="D158" s="98" t="s">
        <v>11</v>
      </c>
      <c r="E158" s="108">
        <v>3014</v>
      </c>
    </row>
    <row r="159" spans="1:5" ht="15">
      <c r="A159" s="362"/>
      <c r="B159" s="365"/>
      <c r="C159" s="368" t="s">
        <v>14</v>
      </c>
      <c r="D159" s="97">
        <v>15</v>
      </c>
      <c r="E159" s="107">
        <v>620</v>
      </c>
    </row>
    <row r="160" spans="1:5">
      <c r="A160" s="362"/>
      <c r="B160" s="365"/>
      <c r="C160" s="368"/>
      <c r="D160" s="98">
        <v>16</v>
      </c>
      <c r="E160" s="108">
        <v>591</v>
      </c>
    </row>
    <row r="161" spans="1:5" ht="15">
      <c r="A161" s="362"/>
      <c r="B161" s="365"/>
      <c r="C161" s="368"/>
      <c r="D161" s="97">
        <v>17</v>
      </c>
      <c r="E161" s="107">
        <v>635</v>
      </c>
    </row>
    <row r="162" spans="1:5">
      <c r="A162" s="362"/>
      <c r="B162" s="365"/>
      <c r="C162" s="368"/>
      <c r="D162" s="98">
        <v>18</v>
      </c>
      <c r="E162" s="108">
        <v>757</v>
      </c>
    </row>
    <row r="163" spans="1:5" ht="15">
      <c r="A163" s="362"/>
      <c r="B163" s="365"/>
      <c r="C163" s="368"/>
      <c r="D163" s="97">
        <v>19</v>
      </c>
      <c r="E163" s="107">
        <v>654</v>
      </c>
    </row>
    <row r="164" spans="1:5" ht="28">
      <c r="A164" s="362"/>
      <c r="B164" s="365"/>
      <c r="C164" s="368"/>
      <c r="D164" s="98" t="s">
        <v>11</v>
      </c>
      <c r="E164" s="108">
        <v>3257</v>
      </c>
    </row>
    <row r="165" spans="1:5" ht="15">
      <c r="A165" s="362"/>
      <c r="B165" s="365"/>
      <c r="C165" s="368" t="s">
        <v>15</v>
      </c>
      <c r="D165" s="97">
        <v>20</v>
      </c>
      <c r="E165" s="107">
        <v>630</v>
      </c>
    </row>
    <row r="166" spans="1:5">
      <c r="A166" s="362"/>
      <c r="B166" s="365"/>
      <c r="C166" s="368"/>
      <c r="D166" s="98">
        <v>21</v>
      </c>
      <c r="E166" s="108">
        <v>515</v>
      </c>
    </row>
    <row r="167" spans="1:5" ht="15">
      <c r="A167" s="362"/>
      <c r="B167" s="365"/>
      <c r="C167" s="368"/>
      <c r="D167" s="97">
        <v>22</v>
      </c>
      <c r="E167" s="107">
        <v>538</v>
      </c>
    </row>
    <row r="168" spans="1:5">
      <c r="A168" s="362"/>
      <c r="B168" s="365"/>
      <c r="C168" s="368"/>
      <c r="D168" s="98">
        <v>23</v>
      </c>
      <c r="E168" s="108">
        <v>574</v>
      </c>
    </row>
    <row r="169" spans="1:5" ht="15">
      <c r="A169" s="362"/>
      <c r="B169" s="365"/>
      <c r="C169" s="368"/>
      <c r="D169" s="97">
        <v>24</v>
      </c>
      <c r="E169" s="107">
        <v>474</v>
      </c>
    </row>
    <row r="170" spans="1:5" ht="28">
      <c r="A170" s="362"/>
      <c r="B170" s="365"/>
      <c r="C170" s="368"/>
      <c r="D170" s="98" t="s">
        <v>11</v>
      </c>
      <c r="E170" s="108">
        <v>2731</v>
      </c>
    </row>
    <row r="171" spans="1:5" ht="15">
      <c r="A171" s="362"/>
      <c r="B171" s="365"/>
      <c r="C171" s="368" t="s">
        <v>16</v>
      </c>
      <c r="D171" s="97">
        <v>25</v>
      </c>
      <c r="E171" s="107">
        <v>487</v>
      </c>
    </row>
    <row r="172" spans="1:5">
      <c r="A172" s="362"/>
      <c r="B172" s="365"/>
      <c r="C172" s="368"/>
      <c r="D172" s="98">
        <v>26</v>
      </c>
      <c r="E172" s="108">
        <v>452</v>
      </c>
    </row>
    <row r="173" spans="1:5" ht="15">
      <c r="A173" s="362"/>
      <c r="B173" s="365"/>
      <c r="C173" s="368"/>
      <c r="D173" s="97">
        <v>27</v>
      </c>
      <c r="E173" s="107">
        <v>432</v>
      </c>
    </row>
    <row r="174" spans="1:5">
      <c r="A174" s="362"/>
      <c r="B174" s="365"/>
      <c r="C174" s="368"/>
      <c r="D174" s="98">
        <v>28</v>
      </c>
      <c r="E174" s="108">
        <v>457</v>
      </c>
    </row>
    <row r="175" spans="1:5" ht="15">
      <c r="A175" s="362"/>
      <c r="B175" s="365"/>
      <c r="C175" s="368"/>
      <c r="D175" s="97">
        <v>29</v>
      </c>
      <c r="E175" s="107">
        <v>412</v>
      </c>
    </row>
    <row r="176" spans="1:5" ht="28">
      <c r="A176" s="362"/>
      <c r="B176" s="365"/>
      <c r="C176" s="368"/>
      <c r="D176" s="98" t="s">
        <v>11</v>
      </c>
      <c r="E176" s="108">
        <v>2240</v>
      </c>
    </row>
    <row r="177" spans="1:5" ht="15">
      <c r="A177" s="362"/>
      <c r="B177" s="365"/>
      <c r="C177" s="368" t="s">
        <v>17</v>
      </c>
      <c r="D177" s="97">
        <v>30</v>
      </c>
      <c r="E177" s="107">
        <v>387</v>
      </c>
    </row>
    <row r="178" spans="1:5">
      <c r="A178" s="362"/>
      <c r="B178" s="365"/>
      <c r="C178" s="368"/>
      <c r="D178" s="98">
        <v>31</v>
      </c>
      <c r="E178" s="108">
        <v>344</v>
      </c>
    </row>
    <row r="179" spans="1:5" ht="15">
      <c r="A179" s="362"/>
      <c r="B179" s="365"/>
      <c r="C179" s="368"/>
      <c r="D179" s="97">
        <v>32</v>
      </c>
      <c r="E179" s="107">
        <v>325</v>
      </c>
    </row>
    <row r="180" spans="1:5">
      <c r="A180" s="362"/>
      <c r="B180" s="365"/>
      <c r="C180" s="368"/>
      <c r="D180" s="98">
        <v>33</v>
      </c>
      <c r="E180" s="108">
        <v>409</v>
      </c>
    </row>
    <row r="181" spans="1:5" ht="15">
      <c r="A181" s="362"/>
      <c r="B181" s="365"/>
      <c r="C181" s="368"/>
      <c r="D181" s="97">
        <v>34</v>
      </c>
      <c r="E181" s="107">
        <v>385</v>
      </c>
    </row>
    <row r="182" spans="1:5" ht="28">
      <c r="A182" s="362"/>
      <c r="B182" s="365"/>
      <c r="C182" s="368"/>
      <c r="D182" s="98" t="s">
        <v>11</v>
      </c>
      <c r="E182" s="108">
        <v>1850</v>
      </c>
    </row>
    <row r="183" spans="1:5" ht="15">
      <c r="A183" s="362"/>
      <c r="B183" s="365"/>
      <c r="C183" s="368" t="s">
        <v>18</v>
      </c>
      <c r="D183" s="97">
        <v>35</v>
      </c>
      <c r="E183" s="107">
        <v>379</v>
      </c>
    </row>
    <row r="184" spans="1:5">
      <c r="A184" s="362"/>
      <c r="B184" s="365"/>
      <c r="C184" s="368"/>
      <c r="D184" s="98">
        <v>36</v>
      </c>
      <c r="E184" s="108">
        <v>341</v>
      </c>
    </row>
    <row r="185" spans="1:5" ht="15">
      <c r="A185" s="362"/>
      <c r="B185" s="365"/>
      <c r="C185" s="368"/>
      <c r="D185" s="97">
        <v>37</v>
      </c>
      <c r="E185" s="107">
        <v>336</v>
      </c>
    </row>
    <row r="186" spans="1:5">
      <c r="A186" s="362"/>
      <c r="B186" s="365"/>
      <c r="C186" s="368"/>
      <c r="D186" s="98">
        <v>38</v>
      </c>
      <c r="E186" s="108">
        <v>315</v>
      </c>
    </row>
    <row r="187" spans="1:5" ht="15">
      <c r="A187" s="362"/>
      <c r="B187" s="365"/>
      <c r="C187" s="368"/>
      <c r="D187" s="97">
        <v>39</v>
      </c>
      <c r="E187" s="107">
        <v>337</v>
      </c>
    </row>
    <row r="188" spans="1:5" ht="28">
      <c r="A188" s="362"/>
      <c r="B188" s="365"/>
      <c r="C188" s="368"/>
      <c r="D188" s="98" t="s">
        <v>11</v>
      </c>
      <c r="E188" s="108">
        <v>1708</v>
      </c>
    </row>
    <row r="189" spans="1:5" ht="15">
      <c r="A189" s="362"/>
      <c r="B189" s="365"/>
      <c r="C189" s="368" t="s">
        <v>19</v>
      </c>
      <c r="D189" s="97">
        <v>40</v>
      </c>
      <c r="E189" s="107">
        <v>295</v>
      </c>
    </row>
    <row r="190" spans="1:5">
      <c r="A190" s="362"/>
      <c r="B190" s="365"/>
      <c r="C190" s="368"/>
      <c r="D190" s="98">
        <v>41</v>
      </c>
      <c r="E190" s="108">
        <v>290</v>
      </c>
    </row>
    <row r="191" spans="1:5" ht="15">
      <c r="A191" s="362"/>
      <c r="B191" s="365"/>
      <c r="C191" s="368"/>
      <c r="D191" s="97">
        <v>42</v>
      </c>
      <c r="E191" s="107">
        <v>246</v>
      </c>
    </row>
    <row r="192" spans="1:5">
      <c r="A192" s="362"/>
      <c r="B192" s="365"/>
      <c r="C192" s="368"/>
      <c r="D192" s="98">
        <v>43</v>
      </c>
      <c r="E192" s="108">
        <v>245</v>
      </c>
    </row>
    <row r="193" spans="1:5" ht="15">
      <c r="A193" s="362"/>
      <c r="B193" s="365"/>
      <c r="C193" s="368"/>
      <c r="D193" s="97">
        <v>44</v>
      </c>
      <c r="E193" s="107">
        <v>236</v>
      </c>
    </row>
    <row r="194" spans="1:5" ht="28">
      <c r="A194" s="362"/>
      <c r="B194" s="365"/>
      <c r="C194" s="368"/>
      <c r="D194" s="98" t="s">
        <v>11</v>
      </c>
      <c r="E194" s="108">
        <v>1312</v>
      </c>
    </row>
    <row r="195" spans="1:5" ht="15">
      <c r="A195" s="362"/>
      <c r="B195" s="365"/>
      <c r="C195" s="368" t="s">
        <v>20</v>
      </c>
      <c r="D195" s="97">
        <v>45</v>
      </c>
      <c r="E195" s="107">
        <v>232</v>
      </c>
    </row>
    <row r="196" spans="1:5">
      <c r="A196" s="362"/>
      <c r="B196" s="365"/>
      <c r="C196" s="368"/>
      <c r="D196" s="98">
        <v>46</v>
      </c>
      <c r="E196" s="108">
        <v>238</v>
      </c>
    </row>
    <row r="197" spans="1:5" ht="15">
      <c r="A197" s="362"/>
      <c r="B197" s="365"/>
      <c r="C197" s="368"/>
      <c r="D197" s="97">
        <v>47</v>
      </c>
      <c r="E197" s="107">
        <v>251</v>
      </c>
    </row>
    <row r="198" spans="1:5">
      <c r="A198" s="362"/>
      <c r="B198" s="365"/>
      <c r="C198" s="368"/>
      <c r="D198" s="98">
        <v>48</v>
      </c>
      <c r="E198" s="108">
        <v>254</v>
      </c>
    </row>
    <row r="199" spans="1:5" ht="15">
      <c r="A199" s="362"/>
      <c r="B199" s="365"/>
      <c r="C199" s="368"/>
      <c r="D199" s="97">
        <v>49</v>
      </c>
      <c r="E199" s="107">
        <v>233</v>
      </c>
    </row>
    <row r="200" spans="1:5" ht="28">
      <c r="A200" s="362"/>
      <c r="B200" s="365"/>
      <c r="C200" s="368"/>
      <c r="D200" s="98" t="s">
        <v>11</v>
      </c>
      <c r="E200" s="108">
        <v>1208</v>
      </c>
    </row>
    <row r="201" spans="1:5" ht="15">
      <c r="A201" s="362"/>
      <c r="B201" s="365"/>
      <c r="C201" s="368" t="s">
        <v>21</v>
      </c>
      <c r="D201" s="97">
        <v>50</v>
      </c>
      <c r="E201" s="107">
        <v>205</v>
      </c>
    </row>
    <row r="202" spans="1:5">
      <c r="A202" s="362"/>
      <c r="B202" s="365"/>
      <c r="C202" s="368"/>
      <c r="D202" s="98">
        <v>51</v>
      </c>
      <c r="E202" s="108">
        <v>218</v>
      </c>
    </row>
    <row r="203" spans="1:5" ht="15">
      <c r="A203" s="362"/>
      <c r="B203" s="365"/>
      <c r="C203" s="368"/>
      <c r="D203" s="97">
        <v>52</v>
      </c>
      <c r="E203" s="107">
        <v>203</v>
      </c>
    </row>
    <row r="204" spans="1:5">
      <c r="A204" s="362"/>
      <c r="B204" s="365"/>
      <c r="C204" s="368"/>
      <c r="D204" s="98">
        <v>53</v>
      </c>
      <c r="E204" s="108">
        <v>217</v>
      </c>
    </row>
    <row r="205" spans="1:5" ht="15">
      <c r="A205" s="362"/>
      <c r="B205" s="365"/>
      <c r="C205" s="368"/>
      <c r="D205" s="97">
        <v>54</v>
      </c>
      <c r="E205" s="107">
        <v>199</v>
      </c>
    </row>
    <row r="206" spans="1:5" ht="28">
      <c r="A206" s="362"/>
      <c r="B206" s="365"/>
      <c r="C206" s="368"/>
      <c r="D206" s="98" t="s">
        <v>11</v>
      </c>
      <c r="E206" s="108">
        <v>1042</v>
      </c>
    </row>
    <row r="207" spans="1:5" ht="15">
      <c r="A207" s="362"/>
      <c r="B207" s="365"/>
      <c r="C207" s="368" t="s">
        <v>22</v>
      </c>
      <c r="D207" s="97">
        <v>55</v>
      </c>
      <c r="E207" s="107">
        <v>177</v>
      </c>
    </row>
    <row r="208" spans="1:5">
      <c r="A208" s="362"/>
      <c r="B208" s="365"/>
      <c r="C208" s="368"/>
      <c r="D208" s="98">
        <v>56</v>
      </c>
      <c r="E208" s="108">
        <v>202</v>
      </c>
    </row>
    <row r="209" spans="1:5" ht="15">
      <c r="A209" s="362"/>
      <c r="B209" s="365"/>
      <c r="C209" s="368"/>
      <c r="D209" s="97">
        <v>57</v>
      </c>
      <c r="E209" s="107">
        <v>162</v>
      </c>
    </row>
    <row r="210" spans="1:5">
      <c r="A210" s="362"/>
      <c r="B210" s="365"/>
      <c r="C210" s="368"/>
      <c r="D210" s="98">
        <v>58</v>
      </c>
      <c r="E210" s="108">
        <v>168</v>
      </c>
    </row>
    <row r="211" spans="1:5" ht="15">
      <c r="A211" s="362"/>
      <c r="B211" s="365"/>
      <c r="C211" s="368"/>
      <c r="D211" s="97">
        <v>59</v>
      </c>
      <c r="E211" s="107">
        <v>139</v>
      </c>
    </row>
    <row r="212" spans="1:5" ht="28">
      <c r="A212" s="362"/>
      <c r="B212" s="365"/>
      <c r="C212" s="368"/>
      <c r="D212" s="98" t="s">
        <v>11</v>
      </c>
      <c r="E212" s="108">
        <v>848</v>
      </c>
    </row>
    <row r="213" spans="1:5" ht="15">
      <c r="A213" s="362"/>
      <c r="B213" s="365"/>
      <c r="C213" s="368" t="s">
        <v>23</v>
      </c>
      <c r="D213" s="97">
        <v>60</v>
      </c>
      <c r="E213" s="107">
        <v>155</v>
      </c>
    </row>
    <row r="214" spans="1:5">
      <c r="A214" s="362"/>
      <c r="B214" s="365"/>
      <c r="C214" s="368"/>
      <c r="D214" s="98">
        <v>61</v>
      </c>
      <c r="E214" s="108">
        <v>124</v>
      </c>
    </row>
    <row r="215" spans="1:5" ht="15">
      <c r="A215" s="362"/>
      <c r="B215" s="365"/>
      <c r="C215" s="368"/>
      <c r="D215" s="97">
        <v>62</v>
      </c>
      <c r="E215" s="107">
        <v>93</v>
      </c>
    </row>
    <row r="216" spans="1:5">
      <c r="A216" s="362"/>
      <c r="B216" s="365"/>
      <c r="C216" s="368"/>
      <c r="D216" s="98">
        <v>63</v>
      </c>
      <c r="E216" s="108">
        <v>85</v>
      </c>
    </row>
    <row r="217" spans="1:5" ht="15">
      <c r="A217" s="362"/>
      <c r="B217" s="365"/>
      <c r="C217" s="368"/>
      <c r="D217" s="97">
        <v>64</v>
      </c>
      <c r="E217" s="107">
        <v>74</v>
      </c>
    </row>
    <row r="218" spans="1:5" ht="28">
      <c r="A218" s="362"/>
      <c r="B218" s="365"/>
      <c r="C218" s="368"/>
      <c r="D218" s="98" t="s">
        <v>11</v>
      </c>
      <c r="E218" s="108">
        <v>531</v>
      </c>
    </row>
    <row r="219" spans="1:5" ht="15">
      <c r="A219" s="362"/>
      <c r="B219" s="365"/>
      <c r="C219" s="368" t="s">
        <v>24</v>
      </c>
      <c r="D219" s="97">
        <v>65</v>
      </c>
      <c r="E219" s="107">
        <v>68</v>
      </c>
    </row>
    <row r="220" spans="1:5">
      <c r="A220" s="362"/>
      <c r="B220" s="365"/>
      <c r="C220" s="368"/>
      <c r="D220" s="98">
        <v>66</v>
      </c>
      <c r="E220" s="108">
        <v>72</v>
      </c>
    </row>
    <row r="221" spans="1:5" ht="15">
      <c r="A221" s="362"/>
      <c r="B221" s="365"/>
      <c r="C221" s="368"/>
      <c r="D221" s="97">
        <v>67</v>
      </c>
      <c r="E221" s="107">
        <v>78</v>
      </c>
    </row>
    <row r="222" spans="1:5">
      <c r="A222" s="362"/>
      <c r="B222" s="365"/>
      <c r="C222" s="368"/>
      <c r="D222" s="98">
        <v>68</v>
      </c>
      <c r="E222" s="108">
        <v>57</v>
      </c>
    </row>
    <row r="223" spans="1:5" ht="15">
      <c r="A223" s="362"/>
      <c r="B223" s="365"/>
      <c r="C223" s="368"/>
      <c r="D223" s="97">
        <v>69</v>
      </c>
      <c r="E223" s="107">
        <v>56</v>
      </c>
    </row>
    <row r="224" spans="1:5" ht="28">
      <c r="A224" s="362"/>
      <c r="B224" s="365"/>
      <c r="C224" s="368"/>
      <c r="D224" s="98" t="s">
        <v>11</v>
      </c>
      <c r="E224" s="108">
        <v>331</v>
      </c>
    </row>
    <row r="225" spans="1:5" ht="15">
      <c r="A225" s="362"/>
      <c r="B225" s="365"/>
      <c r="C225" s="368" t="s">
        <v>25</v>
      </c>
      <c r="D225" s="97">
        <v>70</v>
      </c>
      <c r="E225" s="107">
        <v>70</v>
      </c>
    </row>
    <row r="226" spans="1:5">
      <c r="A226" s="362"/>
      <c r="B226" s="365"/>
      <c r="C226" s="368"/>
      <c r="D226" s="98">
        <v>71</v>
      </c>
      <c r="E226" s="108">
        <v>50</v>
      </c>
    </row>
    <row r="227" spans="1:5" ht="15">
      <c r="A227" s="362"/>
      <c r="B227" s="365"/>
      <c r="C227" s="368"/>
      <c r="D227" s="97">
        <v>72</v>
      </c>
      <c r="E227" s="107">
        <v>36</v>
      </c>
    </row>
    <row r="228" spans="1:5">
      <c r="A228" s="362"/>
      <c r="B228" s="365"/>
      <c r="C228" s="368"/>
      <c r="D228" s="98">
        <v>73</v>
      </c>
      <c r="E228" s="108">
        <v>26</v>
      </c>
    </row>
    <row r="229" spans="1:5" ht="15">
      <c r="A229" s="362"/>
      <c r="B229" s="365"/>
      <c r="C229" s="368"/>
      <c r="D229" s="97">
        <v>74</v>
      </c>
      <c r="E229" s="107">
        <v>31</v>
      </c>
    </row>
    <row r="230" spans="1:5" ht="28">
      <c r="A230" s="362"/>
      <c r="B230" s="365"/>
      <c r="C230" s="368"/>
      <c r="D230" s="98" t="s">
        <v>11</v>
      </c>
      <c r="E230" s="108">
        <v>213</v>
      </c>
    </row>
    <row r="231" spans="1:5" ht="15">
      <c r="A231" s="362"/>
      <c r="B231" s="365"/>
      <c r="C231" s="368" t="s">
        <v>26</v>
      </c>
      <c r="D231" s="97">
        <v>75</v>
      </c>
      <c r="E231" s="107">
        <v>28</v>
      </c>
    </row>
    <row r="232" spans="1:5">
      <c r="A232" s="362"/>
      <c r="B232" s="365"/>
      <c r="C232" s="368"/>
      <c r="D232" s="98">
        <v>76</v>
      </c>
      <c r="E232" s="108">
        <v>31</v>
      </c>
    </row>
    <row r="233" spans="1:5" ht="15">
      <c r="A233" s="362"/>
      <c r="B233" s="365"/>
      <c r="C233" s="368"/>
      <c r="D233" s="97">
        <v>77</v>
      </c>
      <c r="E233" s="107">
        <v>19</v>
      </c>
    </row>
    <row r="234" spans="1:5">
      <c r="A234" s="362"/>
      <c r="B234" s="365"/>
      <c r="C234" s="368"/>
      <c r="D234" s="98">
        <v>78</v>
      </c>
      <c r="E234" s="108">
        <v>23</v>
      </c>
    </row>
    <row r="235" spans="1:5" ht="15">
      <c r="A235" s="362"/>
      <c r="B235" s="365"/>
      <c r="C235" s="368"/>
      <c r="D235" s="97">
        <v>79</v>
      </c>
      <c r="E235" s="107">
        <v>18</v>
      </c>
    </row>
    <row r="236" spans="1:5" ht="28">
      <c r="A236" s="362"/>
      <c r="B236" s="365"/>
      <c r="C236" s="368"/>
      <c r="D236" s="98" t="s">
        <v>11</v>
      </c>
      <c r="E236" s="108">
        <v>119</v>
      </c>
    </row>
    <row r="237" spans="1:5" ht="15">
      <c r="A237" s="362"/>
      <c r="B237" s="365"/>
      <c r="C237" s="368" t="s">
        <v>27</v>
      </c>
      <c r="D237" s="97">
        <v>80</v>
      </c>
      <c r="E237" s="107">
        <v>25</v>
      </c>
    </row>
    <row r="238" spans="1:5">
      <c r="A238" s="362"/>
      <c r="B238" s="365"/>
      <c r="C238" s="368"/>
      <c r="D238" s="98">
        <v>81</v>
      </c>
      <c r="E238" s="108">
        <v>17</v>
      </c>
    </row>
    <row r="239" spans="1:5" ht="15">
      <c r="A239" s="362"/>
      <c r="B239" s="365"/>
      <c r="C239" s="368"/>
      <c r="D239" s="97">
        <v>82</v>
      </c>
      <c r="E239" s="107">
        <v>19</v>
      </c>
    </row>
    <row r="240" spans="1:5">
      <c r="A240" s="362"/>
      <c r="B240" s="365"/>
      <c r="C240" s="368"/>
      <c r="D240" s="98">
        <v>83</v>
      </c>
      <c r="E240" s="108">
        <v>13</v>
      </c>
    </row>
    <row r="241" spans="1:5" ht="15">
      <c r="A241" s="362"/>
      <c r="B241" s="365"/>
      <c r="C241" s="368"/>
      <c r="D241" s="97">
        <v>84</v>
      </c>
      <c r="E241" s="107">
        <v>17</v>
      </c>
    </row>
    <row r="242" spans="1:5" ht="28">
      <c r="A242" s="362"/>
      <c r="B242" s="365"/>
      <c r="C242" s="368"/>
      <c r="D242" s="98" t="s">
        <v>11</v>
      </c>
      <c r="E242" s="108">
        <v>91</v>
      </c>
    </row>
    <row r="243" spans="1:5" ht="15">
      <c r="A243" s="362"/>
      <c r="B243" s="365"/>
      <c r="C243" s="368" t="s">
        <v>28</v>
      </c>
      <c r="D243" s="97">
        <v>85</v>
      </c>
      <c r="E243" s="107">
        <v>6</v>
      </c>
    </row>
    <row r="244" spans="1:5">
      <c r="A244" s="362"/>
      <c r="B244" s="365"/>
      <c r="C244" s="368"/>
      <c r="D244" s="98">
        <v>86</v>
      </c>
      <c r="E244" s="108">
        <v>5</v>
      </c>
    </row>
    <row r="245" spans="1:5" ht="15">
      <c r="A245" s="362"/>
      <c r="B245" s="365"/>
      <c r="C245" s="368"/>
      <c r="D245" s="97">
        <v>87</v>
      </c>
      <c r="E245" s="107">
        <v>9</v>
      </c>
    </row>
    <row r="246" spans="1:5">
      <c r="A246" s="362"/>
      <c r="B246" s="365"/>
      <c r="C246" s="368"/>
      <c r="D246" s="98">
        <v>88</v>
      </c>
      <c r="E246" s="108">
        <v>7</v>
      </c>
    </row>
    <row r="247" spans="1:5" ht="15">
      <c r="A247" s="362"/>
      <c r="B247" s="365"/>
      <c r="C247" s="368"/>
      <c r="D247" s="97">
        <v>89</v>
      </c>
      <c r="E247" s="107">
        <v>1</v>
      </c>
    </row>
    <row r="248" spans="1:5" ht="28">
      <c r="A248" s="362"/>
      <c r="B248" s="365"/>
      <c r="C248" s="368"/>
      <c r="D248" s="98" t="s">
        <v>11</v>
      </c>
      <c r="E248" s="108">
        <v>28</v>
      </c>
    </row>
    <row r="249" spans="1:5" ht="15">
      <c r="A249" s="362"/>
      <c r="B249" s="365"/>
      <c r="C249" s="368" t="s">
        <v>29</v>
      </c>
      <c r="D249" s="97">
        <v>90</v>
      </c>
      <c r="E249" s="107">
        <v>4</v>
      </c>
    </row>
    <row r="250" spans="1:5">
      <c r="A250" s="362"/>
      <c r="B250" s="365"/>
      <c r="C250" s="368"/>
      <c r="D250" s="98">
        <v>91</v>
      </c>
      <c r="E250" s="108">
        <v>3</v>
      </c>
    </row>
    <row r="251" spans="1:5" ht="15">
      <c r="A251" s="362"/>
      <c r="B251" s="365"/>
      <c r="C251" s="368"/>
      <c r="D251" s="97">
        <v>92</v>
      </c>
      <c r="E251" s="107">
        <v>5</v>
      </c>
    </row>
    <row r="252" spans="1:5">
      <c r="A252" s="362"/>
      <c r="B252" s="365"/>
      <c r="C252" s="368"/>
      <c r="D252" s="98">
        <v>93</v>
      </c>
      <c r="E252" s="108">
        <v>7</v>
      </c>
    </row>
    <row r="253" spans="1:5" ht="15">
      <c r="A253" s="362"/>
      <c r="B253" s="365"/>
      <c r="C253" s="368"/>
      <c r="D253" s="97">
        <v>94</v>
      </c>
      <c r="E253" s="107">
        <v>1</v>
      </c>
    </row>
    <row r="254" spans="1:5" ht="28">
      <c r="A254" s="362"/>
      <c r="B254" s="365"/>
      <c r="C254" s="368"/>
      <c r="D254" s="98" t="s">
        <v>11</v>
      </c>
      <c r="E254" s="108">
        <v>20</v>
      </c>
    </row>
    <row r="255" spans="1:5" ht="15">
      <c r="A255" s="362"/>
      <c r="B255" s="365"/>
      <c r="C255" s="368" t="s">
        <v>30</v>
      </c>
      <c r="D255" s="97">
        <v>95</v>
      </c>
      <c r="E255" s="107">
        <v>1</v>
      </c>
    </row>
    <row r="256" spans="1:5">
      <c r="A256" s="362"/>
      <c r="B256" s="365"/>
      <c r="C256" s="368"/>
      <c r="D256" s="98">
        <v>96</v>
      </c>
      <c r="E256" s="108">
        <v>1</v>
      </c>
    </row>
    <row r="257" spans="1:5" ht="15">
      <c r="A257" s="362"/>
      <c r="B257" s="365"/>
      <c r="C257" s="368"/>
      <c r="D257" s="97">
        <v>97</v>
      </c>
      <c r="E257" s="107">
        <v>1</v>
      </c>
    </row>
    <row r="258" spans="1:5">
      <c r="A258" s="362"/>
      <c r="B258" s="365"/>
      <c r="C258" s="368"/>
      <c r="D258" s="98">
        <v>98</v>
      </c>
      <c r="E258" s="108">
        <v>1</v>
      </c>
    </row>
    <row r="259" spans="1:5" ht="28">
      <c r="A259" s="362"/>
      <c r="B259" s="365"/>
      <c r="C259" s="368"/>
      <c r="D259" s="97" t="s">
        <v>11</v>
      </c>
      <c r="E259" s="107">
        <v>4</v>
      </c>
    </row>
    <row r="260" spans="1:5">
      <c r="A260" s="362"/>
      <c r="B260" s="365"/>
      <c r="C260" s="368" t="s">
        <v>31</v>
      </c>
      <c r="D260" s="98">
        <v>100</v>
      </c>
      <c r="E260" s="108">
        <v>1</v>
      </c>
    </row>
    <row r="261" spans="1:5" ht="15">
      <c r="A261" s="362"/>
      <c r="B261" s="365"/>
      <c r="C261" s="368"/>
      <c r="D261" s="97">
        <v>104</v>
      </c>
      <c r="E261" s="107">
        <v>3</v>
      </c>
    </row>
    <row r="262" spans="1:5" ht="28">
      <c r="A262" s="362"/>
      <c r="B262" s="365"/>
      <c r="C262" s="368"/>
      <c r="D262" s="98" t="s">
        <v>11</v>
      </c>
      <c r="E262" s="108">
        <v>4</v>
      </c>
    </row>
    <row r="263" spans="1:5" ht="15">
      <c r="A263" s="362"/>
      <c r="B263" s="365"/>
      <c r="C263" s="368" t="s">
        <v>32</v>
      </c>
      <c r="D263" s="97">
        <v>106</v>
      </c>
      <c r="E263" s="107">
        <v>1</v>
      </c>
    </row>
    <row r="264" spans="1:5" ht="28">
      <c r="A264" s="362"/>
      <c r="B264" s="365"/>
      <c r="C264" s="368"/>
      <c r="D264" s="98" t="s">
        <v>11</v>
      </c>
      <c r="E264" s="108">
        <v>1</v>
      </c>
    </row>
    <row r="265" spans="1:5" ht="15">
      <c r="A265" s="362"/>
      <c r="B265" s="365"/>
      <c r="C265" s="368" t="s">
        <v>33</v>
      </c>
      <c r="D265" s="97">
        <v>114</v>
      </c>
      <c r="E265" s="107">
        <v>1</v>
      </c>
    </row>
    <row r="266" spans="1:5" ht="28">
      <c r="A266" s="362"/>
      <c r="B266" s="365"/>
      <c r="C266" s="368"/>
      <c r="D266" s="98" t="s">
        <v>11</v>
      </c>
      <c r="E266" s="108">
        <v>1</v>
      </c>
    </row>
    <row r="267" spans="1:5" ht="15">
      <c r="A267" s="362"/>
      <c r="B267" s="365"/>
      <c r="C267" s="368" t="s">
        <v>34</v>
      </c>
      <c r="D267" s="97">
        <v>116</v>
      </c>
      <c r="E267" s="107">
        <v>2</v>
      </c>
    </row>
    <row r="268" spans="1:5" ht="28">
      <c r="A268" s="362"/>
      <c r="B268" s="365"/>
      <c r="C268" s="368"/>
      <c r="D268" s="98" t="s">
        <v>11</v>
      </c>
      <c r="E268" s="108">
        <v>2</v>
      </c>
    </row>
    <row r="269" spans="1:5" ht="15">
      <c r="A269" s="362"/>
      <c r="B269" s="365" t="s">
        <v>102</v>
      </c>
      <c r="C269" s="368" t="s">
        <v>10</v>
      </c>
      <c r="D269" s="97">
        <v>0</v>
      </c>
      <c r="E269" s="107">
        <v>585</v>
      </c>
    </row>
    <row r="270" spans="1:5">
      <c r="A270" s="362"/>
      <c r="B270" s="365"/>
      <c r="C270" s="368"/>
      <c r="D270" s="98">
        <v>1</v>
      </c>
      <c r="E270" s="108">
        <v>642</v>
      </c>
    </row>
    <row r="271" spans="1:5" ht="15">
      <c r="A271" s="362"/>
      <c r="B271" s="365"/>
      <c r="C271" s="368"/>
      <c r="D271" s="97">
        <v>2</v>
      </c>
      <c r="E271" s="107">
        <v>643</v>
      </c>
    </row>
    <row r="272" spans="1:5">
      <c r="A272" s="362"/>
      <c r="B272" s="365"/>
      <c r="C272" s="368"/>
      <c r="D272" s="98">
        <v>3</v>
      </c>
      <c r="E272" s="108">
        <v>630</v>
      </c>
    </row>
    <row r="273" spans="1:5" ht="15">
      <c r="A273" s="362"/>
      <c r="B273" s="365"/>
      <c r="C273" s="368"/>
      <c r="D273" s="97">
        <v>4</v>
      </c>
      <c r="E273" s="107">
        <v>684</v>
      </c>
    </row>
    <row r="274" spans="1:5" ht="28">
      <c r="A274" s="362"/>
      <c r="B274" s="365"/>
      <c r="C274" s="368"/>
      <c r="D274" s="98" t="s">
        <v>11</v>
      </c>
      <c r="E274" s="108">
        <v>3184</v>
      </c>
    </row>
    <row r="275" spans="1:5" ht="15">
      <c r="A275" s="362"/>
      <c r="B275" s="365"/>
      <c r="C275" s="368" t="s">
        <v>12</v>
      </c>
      <c r="D275" s="97">
        <v>5</v>
      </c>
      <c r="E275" s="107">
        <v>588</v>
      </c>
    </row>
    <row r="276" spans="1:5">
      <c r="A276" s="362"/>
      <c r="B276" s="365"/>
      <c r="C276" s="368"/>
      <c r="D276" s="98">
        <v>6</v>
      </c>
      <c r="E276" s="108">
        <v>616</v>
      </c>
    </row>
    <row r="277" spans="1:5" ht="15">
      <c r="A277" s="362"/>
      <c r="B277" s="365"/>
      <c r="C277" s="368"/>
      <c r="D277" s="97">
        <v>7</v>
      </c>
      <c r="E277" s="107">
        <v>579</v>
      </c>
    </row>
    <row r="278" spans="1:5">
      <c r="A278" s="362"/>
      <c r="B278" s="365"/>
      <c r="C278" s="368"/>
      <c r="D278" s="98">
        <v>8</v>
      </c>
      <c r="E278" s="108">
        <v>594</v>
      </c>
    </row>
    <row r="279" spans="1:5" ht="15">
      <c r="A279" s="362"/>
      <c r="B279" s="365"/>
      <c r="C279" s="368"/>
      <c r="D279" s="97">
        <v>9</v>
      </c>
      <c r="E279" s="107">
        <v>557</v>
      </c>
    </row>
    <row r="280" spans="1:5" ht="28">
      <c r="A280" s="362"/>
      <c r="B280" s="365"/>
      <c r="C280" s="368"/>
      <c r="D280" s="98" t="s">
        <v>11</v>
      </c>
      <c r="E280" s="108">
        <v>2934</v>
      </c>
    </row>
    <row r="281" spans="1:5" ht="15">
      <c r="A281" s="362"/>
      <c r="B281" s="365"/>
      <c r="C281" s="368" t="s">
        <v>13</v>
      </c>
      <c r="D281" s="97">
        <v>10</v>
      </c>
      <c r="E281" s="107">
        <v>557</v>
      </c>
    </row>
    <row r="282" spans="1:5">
      <c r="A282" s="362"/>
      <c r="B282" s="365"/>
      <c r="C282" s="368"/>
      <c r="D282" s="98">
        <v>11</v>
      </c>
      <c r="E282" s="108">
        <v>597</v>
      </c>
    </row>
    <row r="283" spans="1:5" ht="15">
      <c r="A283" s="362"/>
      <c r="B283" s="365"/>
      <c r="C283" s="368"/>
      <c r="D283" s="97">
        <v>12</v>
      </c>
      <c r="E283" s="107">
        <v>574</v>
      </c>
    </row>
    <row r="284" spans="1:5">
      <c r="A284" s="362"/>
      <c r="B284" s="365"/>
      <c r="C284" s="368"/>
      <c r="D284" s="98">
        <v>13</v>
      </c>
      <c r="E284" s="108">
        <v>598</v>
      </c>
    </row>
    <row r="285" spans="1:5" ht="15">
      <c r="A285" s="362"/>
      <c r="B285" s="365"/>
      <c r="C285" s="368"/>
      <c r="D285" s="97">
        <v>14</v>
      </c>
      <c r="E285" s="107">
        <v>576</v>
      </c>
    </row>
    <row r="286" spans="1:5" ht="28">
      <c r="A286" s="362"/>
      <c r="B286" s="365"/>
      <c r="C286" s="368"/>
      <c r="D286" s="98" t="s">
        <v>11</v>
      </c>
      <c r="E286" s="108">
        <v>2902</v>
      </c>
    </row>
    <row r="287" spans="1:5" ht="15">
      <c r="A287" s="362"/>
      <c r="B287" s="365"/>
      <c r="C287" s="368" t="s">
        <v>14</v>
      </c>
      <c r="D287" s="97">
        <v>15</v>
      </c>
      <c r="E287" s="107">
        <v>596</v>
      </c>
    </row>
    <row r="288" spans="1:5">
      <c r="A288" s="362"/>
      <c r="B288" s="365"/>
      <c r="C288" s="368"/>
      <c r="D288" s="98">
        <v>16</v>
      </c>
      <c r="E288" s="108">
        <v>568</v>
      </c>
    </row>
    <row r="289" spans="1:5" ht="15">
      <c r="A289" s="362"/>
      <c r="B289" s="365"/>
      <c r="C289" s="368"/>
      <c r="D289" s="97">
        <v>17</v>
      </c>
      <c r="E289" s="107">
        <v>631</v>
      </c>
    </row>
    <row r="290" spans="1:5">
      <c r="A290" s="362"/>
      <c r="B290" s="365"/>
      <c r="C290" s="368"/>
      <c r="D290" s="98">
        <v>18</v>
      </c>
      <c r="E290" s="108">
        <v>632</v>
      </c>
    </row>
    <row r="291" spans="1:5" ht="15">
      <c r="A291" s="362"/>
      <c r="B291" s="365"/>
      <c r="C291" s="368"/>
      <c r="D291" s="97">
        <v>19</v>
      </c>
      <c r="E291" s="107">
        <v>641</v>
      </c>
    </row>
    <row r="292" spans="1:5" ht="28">
      <c r="A292" s="362"/>
      <c r="B292" s="365"/>
      <c r="C292" s="368"/>
      <c r="D292" s="98" t="s">
        <v>11</v>
      </c>
      <c r="E292" s="108">
        <v>3068</v>
      </c>
    </row>
    <row r="293" spans="1:5" ht="15">
      <c r="A293" s="362"/>
      <c r="B293" s="365"/>
      <c r="C293" s="368" t="s">
        <v>15</v>
      </c>
      <c r="D293" s="97">
        <v>20</v>
      </c>
      <c r="E293" s="107">
        <v>577</v>
      </c>
    </row>
    <row r="294" spans="1:5">
      <c r="A294" s="362"/>
      <c r="B294" s="365"/>
      <c r="C294" s="368"/>
      <c r="D294" s="98">
        <v>21</v>
      </c>
      <c r="E294" s="108">
        <v>638</v>
      </c>
    </row>
    <row r="295" spans="1:5" ht="15">
      <c r="A295" s="362"/>
      <c r="B295" s="365"/>
      <c r="C295" s="368"/>
      <c r="D295" s="97">
        <v>22</v>
      </c>
      <c r="E295" s="107">
        <v>550</v>
      </c>
    </row>
    <row r="296" spans="1:5">
      <c r="A296" s="362"/>
      <c r="B296" s="365"/>
      <c r="C296" s="368"/>
      <c r="D296" s="98">
        <v>23</v>
      </c>
      <c r="E296" s="108">
        <v>588</v>
      </c>
    </row>
    <row r="297" spans="1:5" ht="15">
      <c r="A297" s="362"/>
      <c r="B297" s="365"/>
      <c r="C297" s="368"/>
      <c r="D297" s="97">
        <v>24</v>
      </c>
      <c r="E297" s="107">
        <v>564</v>
      </c>
    </row>
    <row r="298" spans="1:5" ht="28">
      <c r="A298" s="362"/>
      <c r="B298" s="365"/>
      <c r="C298" s="368"/>
      <c r="D298" s="98" t="s">
        <v>11</v>
      </c>
      <c r="E298" s="108">
        <v>2917</v>
      </c>
    </row>
    <row r="299" spans="1:5" ht="15">
      <c r="A299" s="362"/>
      <c r="B299" s="365"/>
      <c r="C299" s="368" t="s">
        <v>16</v>
      </c>
      <c r="D299" s="97">
        <v>25</v>
      </c>
      <c r="E299" s="107">
        <v>503</v>
      </c>
    </row>
    <row r="300" spans="1:5">
      <c r="A300" s="362"/>
      <c r="B300" s="365"/>
      <c r="C300" s="368"/>
      <c r="D300" s="98">
        <v>26</v>
      </c>
      <c r="E300" s="108">
        <v>494</v>
      </c>
    </row>
    <row r="301" spans="1:5" ht="15">
      <c r="A301" s="362"/>
      <c r="B301" s="365"/>
      <c r="C301" s="368"/>
      <c r="D301" s="97">
        <v>27</v>
      </c>
      <c r="E301" s="107">
        <v>435</v>
      </c>
    </row>
    <row r="302" spans="1:5">
      <c r="A302" s="362"/>
      <c r="B302" s="365"/>
      <c r="C302" s="368"/>
      <c r="D302" s="98">
        <v>28</v>
      </c>
      <c r="E302" s="108">
        <v>482</v>
      </c>
    </row>
    <row r="303" spans="1:5" ht="15">
      <c r="A303" s="362"/>
      <c r="B303" s="365"/>
      <c r="C303" s="368"/>
      <c r="D303" s="97">
        <v>29</v>
      </c>
      <c r="E303" s="107">
        <v>428</v>
      </c>
    </row>
    <row r="304" spans="1:5" ht="28">
      <c r="A304" s="362"/>
      <c r="B304" s="365"/>
      <c r="C304" s="368"/>
      <c r="D304" s="98" t="s">
        <v>11</v>
      </c>
      <c r="E304" s="108">
        <v>2342</v>
      </c>
    </row>
    <row r="305" spans="1:5" ht="15">
      <c r="A305" s="362"/>
      <c r="B305" s="365"/>
      <c r="C305" s="368" t="s">
        <v>17</v>
      </c>
      <c r="D305" s="97">
        <v>30</v>
      </c>
      <c r="E305" s="107">
        <v>417</v>
      </c>
    </row>
    <row r="306" spans="1:5">
      <c r="A306" s="362"/>
      <c r="B306" s="365"/>
      <c r="C306" s="368"/>
      <c r="D306" s="98">
        <v>31</v>
      </c>
      <c r="E306" s="108">
        <v>391</v>
      </c>
    </row>
    <row r="307" spans="1:5" ht="15">
      <c r="A307" s="362"/>
      <c r="B307" s="365"/>
      <c r="C307" s="368"/>
      <c r="D307" s="97">
        <v>32</v>
      </c>
      <c r="E307" s="107">
        <v>417</v>
      </c>
    </row>
    <row r="308" spans="1:5">
      <c r="A308" s="362"/>
      <c r="B308" s="365"/>
      <c r="C308" s="368"/>
      <c r="D308" s="98">
        <v>33</v>
      </c>
      <c r="E308" s="108">
        <v>418</v>
      </c>
    </row>
    <row r="309" spans="1:5" ht="15">
      <c r="A309" s="362"/>
      <c r="B309" s="365"/>
      <c r="C309" s="368"/>
      <c r="D309" s="97">
        <v>34</v>
      </c>
      <c r="E309" s="107">
        <v>364</v>
      </c>
    </row>
    <row r="310" spans="1:5" ht="28">
      <c r="A310" s="362"/>
      <c r="B310" s="365"/>
      <c r="C310" s="368"/>
      <c r="D310" s="98" t="s">
        <v>11</v>
      </c>
      <c r="E310" s="108">
        <v>2007</v>
      </c>
    </row>
    <row r="311" spans="1:5" ht="15">
      <c r="A311" s="362"/>
      <c r="B311" s="365"/>
      <c r="C311" s="368" t="s">
        <v>18</v>
      </c>
      <c r="D311" s="97">
        <v>35</v>
      </c>
      <c r="E311" s="107">
        <v>414</v>
      </c>
    </row>
    <row r="312" spans="1:5">
      <c r="A312" s="362"/>
      <c r="B312" s="365"/>
      <c r="C312" s="368"/>
      <c r="D312" s="98">
        <v>36</v>
      </c>
      <c r="E312" s="108">
        <v>413</v>
      </c>
    </row>
    <row r="313" spans="1:5" ht="15">
      <c r="A313" s="362"/>
      <c r="B313" s="365"/>
      <c r="C313" s="368"/>
      <c r="D313" s="97">
        <v>37</v>
      </c>
      <c r="E313" s="107">
        <v>407</v>
      </c>
    </row>
    <row r="314" spans="1:5">
      <c r="A314" s="362"/>
      <c r="B314" s="365"/>
      <c r="C314" s="368"/>
      <c r="D314" s="98">
        <v>38</v>
      </c>
      <c r="E314" s="108">
        <v>384</v>
      </c>
    </row>
    <row r="315" spans="1:5" ht="15">
      <c r="A315" s="362"/>
      <c r="B315" s="365"/>
      <c r="C315" s="368"/>
      <c r="D315" s="97">
        <v>39</v>
      </c>
      <c r="E315" s="107">
        <v>393</v>
      </c>
    </row>
    <row r="316" spans="1:5" ht="28">
      <c r="A316" s="362"/>
      <c r="B316" s="365"/>
      <c r="C316" s="368"/>
      <c r="D316" s="98" t="s">
        <v>11</v>
      </c>
      <c r="E316" s="108">
        <v>2011</v>
      </c>
    </row>
    <row r="317" spans="1:5" ht="15">
      <c r="A317" s="362"/>
      <c r="B317" s="365"/>
      <c r="C317" s="368" t="s">
        <v>19</v>
      </c>
      <c r="D317" s="97">
        <v>40</v>
      </c>
      <c r="E317" s="107">
        <v>321</v>
      </c>
    </row>
    <row r="318" spans="1:5">
      <c r="A318" s="362"/>
      <c r="B318" s="365"/>
      <c r="C318" s="368"/>
      <c r="D318" s="98">
        <v>41</v>
      </c>
      <c r="E318" s="108">
        <v>295</v>
      </c>
    </row>
    <row r="319" spans="1:5" ht="15">
      <c r="A319" s="362"/>
      <c r="B319" s="365"/>
      <c r="C319" s="368"/>
      <c r="D319" s="97">
        <v>42</v>
      </c>
      <c r="E319" s="107">
        <v>305</v>
      </c>
    </row>
    <row r="320" spans="1:5">
      <c r="A320" s="362"/>
      <c r="B320" s="365"/>
      <c r="C320" s="368"/>
      <c r="D320" s="98">
        <v>43</v>
      </c>
      <c r="E320" s="108">
        <v>319</v>
      </c>
    </row>
    <row r="321" spans="1:5" ht="15">
      <c r="A321" s="362"/>
      <c r="B321" s="365"/>
      <c r="C321" s="368"/>
      <c r="D321" s="97">
        <v>44</v>
      </c>
      <c r="E321" s="107">
        <v>262</v>
      </c>
    </row>
    <row r="322" spans="1:5" ht="28">
      <c r="A322" s="362"/>
      <c r="B322" s="365"/>
      <c r="C322" s="368"/>
      <c r="D322" s="98" t="s">
        <v>11</v>
      </c>
      <c r="E322" s="108">
        <v>1502</v>
      </c>
    </row>
    <row r="323" spans="1:5" ht="15">
      <c r="A323" s="362"/>
      <c r="B323" s="365"/>
      <c r="C323" s="368" t="s">
        <v>20</v>
      </c>
      <c r="D323" s="97">
        <v>45</v>
      </c>
      <c r="E323" s="107">
        <v>275</v>
      </c>
    </row>
    <row r="324" spans="1:5">
      <c r="A324" s="362"/>
      <c r="B324" s="365"/>
      <c r="C324" s="368"/>
      <c r="D324" s="98">
        <v>46</v>
      </c>
      <c r="E324" s="108">
        <v>297</v>
      </c>
    </row>
    <row r="325" spans="1:5" ht="15">
      <c r="A325" s="362"/>
      <c r="B325" s="365"/>
      <c r="C325" s="368"/>
      <c r="D325" s="97">
        <v>47</v>
      </c>
      <c r="E325" s="107">
        <v>266</v>
      </c>
    </row>
    <row r="326" spans="1:5">
      <c r="A326" s="362"/>
      <c r="B326" s="365"/>
      <c r="C326" s="368"/>
      <c r="D326" s="98">
        <v>48</v>
      </c>
      <c r="E326" s="108">
        <v>269</v>
      </c>
    </row>
    <row r="327" spans="1:5" ht="15">
      <c r="A327" s="362"/>
      <c r="B327" s="365"/>
      <c r="C327" s="368"/>
      <c r="D327" s="97">
        <v>49</v>
      </c>
      <c r="E327" s="107">
        <v>252</v>
      </c>
    </row>
    <row r="328" spans="1:5" ht="28">
      <c r="A328" s="362"/>
      <c r="B328" s="365"/>
      <c r="C328" s="368"/>
      <c r="D328" s="98" t="s">
        <v>11</v>
      </c>
      <c r="E328" s="108">
        <v>1359</v>
      </c>
    </row>
    <row r="329" spans="1:5" ht="15">
      <c r="A329" s="362"/>
      <c r="B329" s="365"/>
      <c r="C329" s="368" t="s">
        <v>21</v>
      </c>
      <c r="D329" s="97">
        <v>50</v>
      </c>
      <c r="E329" s="107">
        <v>222</v>
      </c>
    </row>
    <row r="330" spans="1:5">
      <c r="A330" s="362"/>
      <c r="B330" s="365"/>
      <c r="C330" s="368"/>
      <c r="D330" s="98">
        <v>51</v>
      </c>
      <c r="E330" s="108">
        <v>256</v>
      </c>
    </row>
    <row r="331" spans="1:5" ht="15">
      <c r="A331" s="362"/>
      <c r="B331" s="365"/>
      <c r="C331" s="368"/>
      <c r="D331" s="97">
        <v>52</v>
      </c>
      <c r="E331" s="107">
        <v>222</v>
      </c>
    </row>
    <row r="332" spans="1:5">
      <c r="A332" s="362"/>
      <c r="B332" s="365"/>
      <c r="C332" s="368"/>
      <c r="D332" s="98">
        <v>53</v>
      </c>
      <c r="E332" s="108">
        <v>225</v>
      </c>
    </row>
    <row r="333" spans="1:5" ht="15">
      <c r="A333" s="362"/>
      <c r="B333" s="365"/>
      <c r="C333" s="368"/>
      <c r="D333" s="97">
        <v>54</v>
      </c>
      <c r="E333" s="107">
        <v>187</v>
      </c>
    </row>
    <row r="334" spans="1:5" ht="28">
      <c r="A334" s="362"/>
      <c r="B334" s="365"/>
      <c r="C334" s="368"/>
      <c r="D334" s="98" t="s">
        <v>11</v>
      </c>
      <c r="E334" s="108">
        <v>1112</v>
      </c>
    </row>
    <row r="335" spans="1:5" ht="15">
      <c r="A335" s="362"/>
      <c r="B335" s="365"/>
      <c r="C335" s="368" t="s">
        <v>22</v>
      </c>
      <c r="D335" s="97">
        <v>55</v>
      </c>
      <c r="E335" s="107">
        <v>201</v>
      </c>
    </row>
    <row r="336" spans="1:5">
      <c r="A336" s="362"/>
      <c r="B336" s="365"/>
      <c r="C336" s="368"/>
      <c r="D336" s="98">
        <v>56</v>
      </c>
      <c r="E336" s="108">
        <v>197</v>
      </c>
    </row>
    <row r="337" spans="1:5" ht="15">
      <c r="A337" s="362"/>
      <c r="B337" s="365"/>
      <c r="C337" s="368"/>
      <c r="D337" s="97">
        <v>57</v>
      </c>
      <c r="E337" s="107">
        <v>201</v>
      </c>
    </row>
    <row r="338" spans="1:5">
      <c r="A338" s="362"/>
      <c r="B338" s="365"/>
      <c r="C338" s="368"/>
      <c r="D338" s="98">
        <v>58</v>
      </c>
      <c r="E338" s="108">
        <v>193</v>
      </c>
    </row>
    <row r="339" spans="1:5" ht="15">
      <c r="A339" s="362"/>
      <c r="B339" s="365"/>
      <c r="C339" s="368"/>
      <c r="D339" s="97">
        <v>59</v>
      </c>
      <c r="E339" s="107">
        <v>179</v>
      </c>
    </row>
    <row r="340" spans="1:5" ht="28">
      <c r="A340" s="362"/>
      <c r="B340" s="365"/>
      <c r="C340" s="368"/>
      <c r="D340" s="98" t="s">
        <v>11</v>
      </c>
      <c r="E340" s="108">
        <v>971</v>
      </c>
    </row>
    <row r="341" spans="1:5" ht="15">
      <c r="A341" s="362"/>
      <c r="B341" s="365"/>
      <c r="C341" s="368" t="s">
        <v>23</v>
      </c>
      <c r="D341" s="97">
        <v>60</v>
      </c>
      <c r="E341" s="107">
        <v>173</v>
      </c>
    </row>
    <row r="342" spans="1:5">
      <c r="A342" s="362"/>
      <c r="B342" s="365"/>
      <c r="C342" s="368"/>
      <c r="D342" s="98">
        <v>61</v>
      </c>
      <c r="E342" s="108">
        <v>164</v>
      </c>
    </row>
    <row r="343" spans="1:5" ht="15">
      <c r="A343" s="362"/>
      <c r="B343" s="365"/>
      <c r="C343" s="368"/>
      <c r="D343" s="97">
        <v>62</v>
      </c>
      <c r="E343" s="107">
        <v>162</v>
      </c>
    </row>
    <row r="344" spans="1:5">
      <c r="A344" s="362"/>
      <c r="B344" s="365"/>
      <c r="C344" s="368"/>
      <c r="D344" s="98">
        <v>63</v>
      </c>
      <c r="E344" s="108">
        <v>113</v>
      </c>
    </row>
    <row r="345" spans="1:5" ht="15">
      <c r="A345" s="362"/>
      <c r="B345" s="365"/>
      <c r="C345" s="368"/>
      <c r="D345" s="97">
        <v>64</v>
      </c>
      <c r="E345" s="107">
        <v>111</v>
      </c>
    </row>
    <row r="346" spans="1:5" ht="28">
      <c r="A346" s="362"/>
      <c r="B346" s="365"/>
      <c r="C346" s="368"/>
      <c r="D346" s="98" t="s">
        <v>11</v>
      </c>
      <c r="E346" s="108">
        <v>723</v>
      </c>
    </row>
    <row r="347" spans="1:5" ht="15">
      <c r="A347" s="362"/>
      <c r="B347" s="365"/>
      <c r="C347" s="368" t="s">
        <v>24</v>
      </c>
      <c r="D347" s="97">
        <v>65</v>
      </c>
      <c r="E347" s="107">
        <v>121</v>
      </c>
    </row>
    <row r="348" spans="1:5">
      <c r="A348" s="362"/>
      <c r="B348" s="365"/>
      <c r="C348" s="368"/>
      <c r="D348" s="98">
        <v>66</v>
      </c>
      <c r="E348" s="108">
        <v>118</v>
      </c>
    </row>
    <row r="349" spans="1:5" ht="15">
      <c r="A349" s="362"/>
      <c r="B349" s="365"/>
      <c r="C349" s="368"/>
      <c r="D349" s="97">
        <v>67</v>
      </c>
      <c r="E349" s="107">
        <v>116</v>
      </c>
    </row>
    <row r="350" spans="1:5">
      <c r="A350" s="362"/>
      <c r="B350" s="365"/>
      <c r="C350" s="368"/>
      <c r="D350" s="98">
        <v>68</v>
      </c>
      <c r="E350" s="108">
        <v>113</v>
      </c>
    </row>
    <row r="351" spans="1:5" ht="15">
      <c r="A351" s="362"/>
      <c r="B351" s="365"/>
      <c r="C351" s="368"/>
      <c r="D351" s="97">
        <v>69</v>
      </c>
      <c r="E351" s="107">
        <v>78</v>
      </c>
    </row>
    <row r="352" spans="1:5" ht="28">
      <c r="A352" s="362"/>
      <c r="B352" s="365"/>
      <c r="C352" s="368"/>
      <c r="D352" s="98" t="s">
        <v>11</v>
      </c>
      <c r="E352" s="108">
        <v>546</v>
      </c>
    </row>
    <row r="353" spans="1:5" ht="15">
      <c r="A353" s="362"/>
      <c r="B353" s="365"/>
      <c r="C353" s="368" t="s">
        <v>25</v>
      </c>
      <c r="D353" s="97">
        <v>70</v>
      </c>
      <c r="E353" s="107">
        <v>80</v>
      </c>
    </row>
    <row r="354" spans="1:5">
      <c r="A354" s="362"/>
      <c r="B354" s="365"/>
      <c r="C354" s="368"/>
      <c r="D354" s="98">
        <v>71</v>
      </c>
      <c r="E354" s="108">
        <v>72</v>
      </c>
    </row>
    <row r="355" spans="1:5" ht="15">
      <c r="A355" s="362"/>
      <c r="B355" s="365"/>
      <c r="C355" s="368"/>
      <c r="D355" s="97">
        <v>72</v>
      </c>
      <c r="E355" s="107">
        <v>54</v>
      </c>
    </row>
    <row r="356" spans="1:5">
      <c r="A356" s="362"/>
      <c r="B356" s="365"/>
      <c r="C356" s="368"/>
      <c r="D356" s="98">
        <v>73</v>
      </c>
      <c r="E356" s="108">
        <v>64</v>
      </c>
    </row>
    <row r="357" spans="1:5" ht="15">
      <c r="A357" s="362"/>
      <c r="B357" s="365"/>
      <c r="C357" s="368"/>
      <c r="D357" s="97">
        <v>74</v>
      </c>
      <c r="E357" s="107">
        <v>65</v>
      </c>
    </row>
    <row r="358" spans="1:5" ht="28">
      <c r="A358" s="362"/>
      <c r="B358" s="365"/>
      <c r="C358" s="368"/>
      <c r="D358" s="98" t="s">
        <v>11</v>
      </c>
      <c r="E358" s="108">
        <v>335</v>
      </c>
    </row>
    <row r="359" spans="1:5" ht="15">
      <c r="A359" s="362"/>
      <c r="B359" s="365"/>
      <c r="C359" s="368" t="s">
        <v>26</v>
      </c>
      <c r="D359" s="97">
        <v>75</v>
      </c>
      <c r="E359" s="107">
        <v>55</v>
      </c>
    </row>
    <row r="360" spans="1:5">
      <c r="A360" s="362"/>
      <c r="B360" s="365"/>
      <c r="C360" s="368"/>
      <c r="D360" s="98">
        <v>76</v>
      </c>
      <c r="E360" s="108">
        <v>61</v>
      </c>
    </row>
    <row r="361" spans="1:5" ht="15">
      <c r="A361" s="362"/>
      <c r="B361" s="365"/>
      <c r="C361" s="368"/>
      <c r="D361" s="97">
        <v>77</v>
      </c>
      <c r="E361" s="107">
        <v>51</v>
      </c>
    </row>
    <row r="362" spans="1:5">
      <c r="A362" s="362"/>
      <c r="B362" s="365"/>
      <c r="C362" s="368"/>
      <c r="D362" s="98">
        <v>78</v>
      </c>
      <c r="E362" s="108">
        <v>60</v>
      </c>
    </row>
    <row r="363" spans="1:5" ht="15">
      <c r="A363" s="362"/>
      <c r="B363" s="365"/>
      <c r="C363" s="368"/>
      <c r="D363" s="97">
        <v>79</v>
      </c>
      <c r="E363" s="107">
        <v>47</v>
      </c>
    </row>
    <row r="364" spans="1:5" ht="28">
      <c r="A364" s="362"/>
      <c r="B364" s="365"/>
      <c r="C364" s="368"/>
      <c r="D364" s="98" t="s">
        <v>11</v>
      </c>
      <c r="E364" s="108">
        <v>274</v>
      </c>
    </row>
    <row r="365" spans="1:5" ht="15">
      <c r="A365" s="362"/>
      <c r="B365" s="365"/>
      <c r="C365" s="368" t="s">
        <v>27</v>
      </c>
      <c r="D365" s="97">
        <v>80</v>
      </c>
      <c r="E365" s="107">
        <v>32</v>
      </c>
    </row>
    <row r="366" spans="1:5">
      <c r="A366" s="362"/>
      <c r="B366" s="365"/>
      <c r="C366" s="368"/>
      <c r="D366" s="98">
        <v>81</v>
      </c>
      <c r="E366" s="108">
        <v>36</v>
      </c>
    </row>
    <row r="367" spans="1:5" ht="15">
      <c r="A367" s="362"/>
      <c r="B367" s="365"/>
      <c r="C367" s="368"/>
      <c r="D367" s="97">
        <v>82</v>
      </c>
      <c r="E367" s="107">
        <v>45</v>
      </c>
    </row>
    <row r="368" spans="1:5">
      <c r="A368" s="362"/>
      <c r="B368" s="365"/>
      <c r="C368" s="368"/>
      <c r="D368" s="98">
        <v>83</v>
      </c>
      <c r="E368" s="108">
        <v>33</v>
      </c>
    </row>
    <row r="369" spans="1:5" ht="15">
      <c r="A369" s="362"/>
      <c r="B369" s="365"/>
      <c r="C369" s="368"/>
      <c r="D369" s="97">
        <v>84</v>
      </c>
      <c r="E369" s="107">
        <v>24</v>
      </c>
    </row>
    <row r="370" spans="1:5" ht="28">
      <c r="A370" s="362"/>
      <c r="B370" s="365"/>
      <c r="C370" s="368"/>
      <c r="D370" s="98" t="s">
        <v>11</v>
      </c>
      <c r="E370" s="108">
        <v>170</v>
      </c>
    </row>
    <row r="371" spans="1:5" ht="15">
      <c r="A371" s="362"/>
      <c r="B371" s="365"/>
      <c r="C371" s="368" t="s">
        <v>28</v>
      </c>
      <c r="D371" s="97">
        <v>85</v>
      </c>
      <c r="E371" s="107">
        <v>28</v>
      </c>
    </row>
    <row r="372" spans="1:5">
      <c r="A372" s="362"/>
      <c r="B372" s="365"/>
      <c r="C372" s="368"/>
      <c r="D372" s="98">
        <v>86</v>
      </c>
      <c r="E372" s="108">
        <v>18</v>
      </c>
    </row>
    <row r="373" spans="1:5" ht="15">
      <c r="A373" s="362"/>
      <c r="B373" s="365"/>
      <c r="C373" s="368"/>
      <c r="D373" s="97">
        <v>87</v>
      </c>
      <c r="E373" s="107">
        <v>27</v>
      </c>
    </row>
    <row r="374" spans="1:5">
      <c r="A374" s="362"/>
      <c r="B374" s="365"/>
      <c r="C374" s="368"/>
      <c r="D374" s="98">
        <v>88</v>
      </c>
      <c r="E374" s="108">
        <v>19</v>
      </c>
    </row>
    <row r="375" spans="1:5" ht="15">
      <c r="A375" s="362"/>
      <c r="B375" s="365"/>
      <c r="C375" s="368"/>
      <c r="D375" s="97">
        <v>89</v>
      </c>
      <c r="E375" s="107">
        <v>19</v>
      </c>
    </row>
    <row r="376" spans="1:5" ht="28">
      <c r="A376" s="362"/>
      <c r="B376" s="365"/>
      <c r="C376" s="368"/>
      <c r="D376" s="98" t="s">
        <v>11</v>
      </c>
      <c r="E376" s="108">
        <v>111</v>
      </c>
    </row>
    <row r="377" spans="1:5" ht="15">
      <c r="A377" s="362"/>
      <c r="B377" s="365"/>
      <c r="C377" s="368" t="s">
        <v>29</v>
      </c>
      <c r="D377" s="97">
        <v>90</v>
      </c>
      <c r="E377" s="107">
        <v>16</v>
      </c>
    </row>
    <row r="378" spans="1:5">
      <c r="A378" s="362"/>
      <c r="B378" s="365"/>
      <c r="C378" s="368"/>
      <c r="D378" s="98">
        <v>91</v>
      </c>
      <c r="E378" s="108">
        <v>11</v>
      </c>
    </row>
    <row r="379" spans="1:5" ht="15">
      <c r="A379" s="362"/>
      <c r="B379" s="365"/>
      <c r="C379" s="368"/>
      <c r="D379" s="97">
        <v>92</v>
      </c>
      <c r="E379" s="107">
        <v>11</v>
      </c>
    </row>
    <row r="380" spans="1:5">
      <c r="A380" s="362"/>
      <c r="B380" s="365"/>
      <c r="C380" s="368"/>
      <c r="D380" s="98">
        <v>93</v>
      </c>
      <c r="E380" s="108">
        <v>11</v>
      </c>
    </row>
    <row r="381" spans="1:5" ht="15">
      <c r="A381" s="362"/>
      <c r="B381" s="365"/>
      <c r="C381" s="368"/>
      <c r="D381" s="97">
        <v>94</v>
      </c>
      <c r="E381" s="107">
        <v>4</v>
      </c>
    </row>
    <row r="382" spans="1:5" ht="28">
      <c r="A382" s="362"/>
      <c r="B382" s="365"/>
      <c r="C382" s="368"/>
      <c r="D382" s="98" t="s">
        <v>11</v>
      </c>
      <c r="E382" s="108">
        <v>53</v>
      </c>
    </row>
    <row r="383" spans="1:5" ht="15">
      <c r="A383" s="362"/>
      <c r="B383" s="365"/>
      <c r="C383" s="368" t="s">
        <v>30</v>
      </c>
      <c r="D383" s="97">
        <v>95</v>
      </c>
      <c r="E383" s="107">
        <v>6</v>
      </c>
    </row>
    <row r="384" spans="1:5">
      <c r="A384" s="362"/>
      <c r="B384" s="365"/>
      <c r="C384" s="368"/>
      <c r="D384" s="98">
        <v>96</v>
      </c>
      <c r="E384" s="108">
        <v>6</v>
      </c>
    </row>
    <row r="385" spans="1:5" ht="15">
      <c r="A385" s="362"/>
      <c r="B385" s="365"/>
      <c r="C385" s="368"/>
      <c r="D385" s="97">
        <v>97</v>
      </c>
      <c r="E385" s="107">
        <v>7</v>
      </c>
    </row>
    <row r="386" spans="1:5">
      <c r="A386" s="362"/>
      <c r="B386" s="365"/>
      <c r="C386" s="368"/>
      <c r="D386" s="98">
        <v>98</v>
      </c>
      <c r="E386" s="108">
        <v>3</v>
      </c>
    </row>
    <row r="387" spans="1:5" ht="15">
      <c r="A387" s="362"/>
      <c r="B387" s="365"/>
      <c r="C387" s="368"/>
      <c r="D387" s="97">
        <v>99</v>
      </c>
      <c r="E387" s="107">
        <v>3</v>
      </c>
    </row>
    <row r="388" spans="1:5" ht="28">
      <c r="A388" s="362"/>
      <c r="B388" s="365"/>
      <c r="C388" s="368"/>
      <c r="D388" s="98" t="s">
        <v>11</v>
      </c>
      <c r="E388" s="108">
        <v>25</v>
      </c>
    </row>
    <row r="389" spans="1:5" ht="15">
      <c r="A389" s="362"/>
      <c r="B389" s="365"/>
      <c r="C389" s="368" t="s">
        <v>31</v>
      </c>
      <c r="D389" s="97">
        <v>100</v>
      </c>
      <c r="E389" s="107">
        <v>1</v>
      </c>
    </row>
    <row r="390" spans="1:5">
      <c r="A390" s="362"/>
      <c r="B390" s="365"/>
      <c r="C390" s="368"/>
      <c r="D390" s="98">
        <v>101</v>
      </c>
      <c r="E390" s="108">
        <v>1</v>
      </c>
    </row>
    <row r="391" spans="1:5" ht="15">
      <c r="A391" s="362"/>
      <c r="B391" s="365"/>
      <c r="C391" s="368"/>
      <c r="D391" s="97">
        <v>102</v>
      </c>
      <c r="E391" s="107">
        <v>1</v>
      </c>
    </row>
    <row r="392" spans="1:5" ht="28">
      <c r="A392" s="362"/>
      <c r="B392" s="365"/>
      <c r="C392" s="368"/>
      <c r="D392" s="98" t="s">
        <v>11</v>
      </c>
      <c r="E392" s="108">
        <v>3</v>
      </c>
    </row>
    <row r="393" spans="1:5" ht="15">
      <c r="A393" s="362"/>
      <c r="B393" s="365" t="s">
        <v>103</v>
      </c>
      <c r="C393" s="368" t="s">
        <v>10</v>
      </c>
      <c r="D393" s="97">
        <v>0</v>
      </c>
      <c r="E393" s="107">
        <v>727</v>
      </c>
    </row>
    <row r="394" spans="1:5">
      <c r="A394" s="362"/>
      <c r="B394" s="365"/>
      <c r="C394" s="368"/>
      <c r="D394" s="98">
        <v>1</v>
      </c>
      <c r="E394" s="108">
        <v>873</v>
      </c>
    </row>
    <row r="395" spans="1:5" ht="15">
      <c r="A395" s="362"/>
      <c r="B395" s="365"/>
      <c r="C395" s="368"/>
      <c r="D395" s="97">
        <v>2</v>
      </c>
      <c r="E395" s="107">
        <v>983</v>
      </c>
    </row>
    <row r="396" spans="1:5">
      <c r="A396" s="362"/>
      <c r="B396" s="365"/>
      <c r="C396" s="368"/>
      <c r="D396" s="98">
        <v>3</v>
      </c>
      <c r="E396" s="108">
        <v>973</v>
      </c>
    </row>
    <row r="397" spans="1:5" ht="15">
      <c r="A397" s="362"/>
      <c r="B397" s="365"/>
      <c r="C397" s="368"/>
      <c r="D397" s="97">
        <v>4</v>
      </c>
      <c r="E397" s="107">
        <v>998</v>
      </c>
    </row>
    <row r="398" spans="1:5" ht="28">
      <c r="A398" s="362"/>
      <c r="B398" s="365"/>
      <c r="C398" s="368"/>
      <c r="D398" s="98" t="s">
        <v>11</v>
      </c>
      <c r="E398" s="108">
        <v>4554</v>
      </c>
    </row>
    <row r="399" spans="1:5" ht="15">
      <c r="A399" s="362"/>
      <c r="B399" s="365"/>
      <c r="C399" s="368" t="s">
        <v>12</v>
      </c>
      <c r="D399" s="97">
        <v>5</v>
      </c>
      <c r="E399" s="107">
        <v>1004</v>
      </c>
    </row>
    <row r="400" spans="1:5">
      <c r="A400" s="362"/>
      <c r="B400" s="365"/>
      <c r="C400" s="368"/>
      <c r="D400" s="98">
        <v>6</v>
      </c>
      <c r="E400" s="108">
        <v>964</v>
      </c>
    </row>
    <row r="401" spans="1:5" ht="15">
      <c r="A401" s="362"/>
      <c r="B401" s="365"/>
      <c r="C401" s="368"/>
      <c r="D401" s="97">
        <v>7</v>
      </c>
      <c r="E401" s="107">
        <v>1066</v>
      </c>
    </row>
    <row r="402" spans="1:5">
      <c r="A402" s="362"/>
      <c r="B402" s="365"/>
      <c r="C402" s="368"/>
      <c r="D402" s="98">
        <v>8</v>
      </c>
      <c r="E402" s="108">
        <v>981</v>
      </c>
    </row>
    <row r="403" spans="1:5" ht="15">
      <c r="A403" s="362"/>
      <c r="B403" s="365"/>
      <c r="C403" s="368"/>
      <c r="D403" s="97">
        <v>9</v>
      </c>
      <c r="E403" s="107">
        <v>934</v>
      </c>
    </row>
    <row r="404" spans="1:5" ht="28">
      <c r="A404" s="362"/>
      <c r="B404" s="365"/>
      <c r="C404" s="368"/>
      <c r="D404" s="98" t="s">
        <v>11</v>
      </c>
      <c r="E404" s="108">
        <v>4949</v>
      </c>
    </row>
    <row r="405" spans="1:5" ht="15">
      <c r="A405" s="362"/>
      <c r="B405" s="365"/>
      <c r="C405" s="368" t="s">
        <v>13</v>
      </c>
      <c r="D405" s="97">
        <v>10</v>
      </c>
      <c r="E405" s="107">
        <v>918</v>
      </c>
    </row>
    <row r="406" spans="1:5">
      <c r="A406" s="362"/>
      <c r="B406" s="365"/>
      <c r="C406" s="368"/>
      <c r="D406" s="98">
        <v>11</v>
      </c>
      <c r="E406" s="108">
        <v>906</v>
      </c>
    </row>
    <row r="407" spans="1:5" ht="15">
      <c r="A407" s="362"/>
      <c r="B407" s="365"/>
      <c r="C407" s="368"/>
      <c r="D407" s="97">
        <v>12</v>
      </c>
      <c r="E407" s="107">
        <v>892</v>
      </c>
    </row>
    <row r="408" spans="1:5">
      <c r="A408" s="362"/>
      <c r="B408" s="365"/>
      <c r="C408" s="368"/>
      <c r="D408" s="98">
        <v>13</v>
      </c>
      <c r="E408" s="108">
        <v>893</v>
      </c>
    </row>
    <row r="409" spans="1:5" ht="15">
      <c r="A409" s="362"/>
      <c r="B409" s="365"/>
      <c r="C409" s="368"/>
      <c r="D409" s="97">
        <v>14</v>
      </c>
      <c r="E409" s="107">
        <v>862</v>
      </c>
    </row>
    <row r="410" spans="1:5" ht="28">
      <c r="A410" s="362"/>
      <c r="B410" s="365"/>
      <c r="C410" s="368"/>
      <c r="D410" s="98" t="s">
        <v>11</v>
      </c>
      <c r="E410" s="108">
        <v>4471</v>
      </c>
    </row>
    <row r="411" spans="1:5" ht="15">
      <c r="A411" s="362"/>
      <c r="B411" s="365"/>
      <c r="C411" s="368" t="s">
        <v>14</v>
      </c>
      <c r="D411" s="97">
        <v>15</v>
      </c>
      <c r="E411" s="107">
        <v>851</v>
      </c>
    </row>
    <row r="412" spans="1:5">
      <c r="A412" s="362"/>
      <c r="B412" s="365"/>
      <c r="C412" s="368"/>
      <c r="D412" s="98">
        <v>16</v>
      </c>
      <c r="E412" s="108">
        <v>738</v>
      </c>
    </row>
    <row r="413" spans="1:5" ht="15">
      <c r="A413" s="362"/>
      <c r="B413" s="365"/>
      <c r="C413" s="368"/>
      <c r="D413" s="97">
        <v>17</v>
      </c>
      <c r="E413" s="107">
        <v>786</v>
      </c>
    </row>
    <row r="414" spans="1:5">
      <c r="A414" s="362"/>
      <c r="B414" s="365"/>
      <c r="C414" s="368"/>
      <c r="D414" s="98">
        <v>18</v>
      </c>
      <c r="E414" s="108">
        <v>802</v>
      </c>
    </row>
    <row r="415" spans="1:5" ht="15">
      <c r="A415" s="362"/>
      <c r="B415" s="365"/>
      <c r="C415" s="368"/>
      <c r="D415" s="97">
        <v>19</v>
      </c>
      <c r="E415" s="107">
        <v>688</v>
      </c>
    </row>
    <row r="416" spans="1:5" ht="28">
      <c r="A416" s="362"/>
      <c r="B416" s="365"/>
      <c r="C416" s="368"/>
      <c r="D416" s="98" t="s">
        <v>11</v>
      </c>
      <c r="E416" s="108">
        <v>3865</v>
      </c>
    </row>
    <row r="417" spans="1:5" ht="15">
      <c r="A417" s="362"/>
      <c r="B417" s="365"/>
      <c r="C417" s="368" t="s">
        <v>15</v>
      </c>
      <c r="D417" s="97">
        <v>20</v>
      </c>
      <c r="E417" s="107">
        <v>728</v>
      </c>
    </row>
    <row r="418" spans="1:5">
      <c r="A418" s="362"/>
      <c r="B418" s="365"/>
      <c r="C418" s="368"/>
      <c r="D418" s="98">
        <v>21</v>
      </c>
      <c r="E418" s="108">
        <v>578</v>
      </c>
    </row>
    <row r="419" spans="1:5" ht="15">
      <c r="A419" s="362"/>
      <c r="B419" s="365"/>
      <c r="C419" s="368"/>
      <c r="D419" s="97">
        <v>22</v>
      </c>
      <c r="E419" s="107">
        <v>598</v>
      </c>
    </row>
    <row r="420" spans="1:5">
      <c r="A420" s="362"/>
      <c r="B420" s="365"/>
      <c r="C420" s="368"/>
      <c r="D420" s="98">
        <v>23</v>
      </c>
      <c r="E420" s="108">
        <v>658</v>
      </c>
    </row>
    <row r="421" spans="1:5" ht="15">
      <c r="A421" s="362"/>
      <c r="B421" s="365"/>
      <c r="C421" s="368"/>
      <c r="D421" s="97">
        <v>24</v>
      </c>
      <c r="E421" s="107">
        <v>611</v>
      </c>
    </row>
    <row r="422" spans="1:5" ht="28">
      <c r="A422" s="362"/>
      <c r="B422" s="365"/>
      <c r="C422" s="368"/>
      <c r="D422" s="98" t="s">
        <v>11</v>
      </c>
      <c r="E422" s="108">
        <v>3173</v>
      </c>
    </row>
    <row r="423" spans="1:5" ht="15">
      <c r="A423" s="362"/>
      <c r="B423" s="365"/>
      <c r="C423" s="368" t="s">
        <v>16</v>
      </c>
      <c r="D423" s="97">
        <v>25</v>
      </c>
      <c r="E423" s="107">
        <v>608</v>
      </c>
    </row>
    <row r="424" spans="1:5">
      <c r="A424" s="362"/>
      <c r="B424" s="365"/>
      <c r="C424" s="368"/>
      <c r="D424" s="98">
        <v>26</v>
      </c>
      <c r="E424" s="108">
        <v>599</v>
      </c>
    </row>
    <row r="425" spans="1:5" ht="15">
      <c r="A425" s="362"/>
      <c r="B425" s="365"/>
      <c r="C425" s="368"/>
      <c r="D425" s="97">
        <v>27</v>
      </c>
      <c r="E425" s="107">
        <v>584</v>
      </c>
    </row>
    <row r="426" spans="1:5">
      <c r="A426" s="362"/>
      <c r="B426" s="365"/>
      <c r="C426" s="368"/>
      <c r="D426" s="98">
        <v>28</v>
      </c>
      <c r="E426" s="108">
        <v>585</v>
      </c>
    </row>
    <row r="427" spans="1:5" ht="15">
      <c r="A427" s="362"/>
      <c r="B427" s="365"/>
      <c r="C427" s="368"/>
      <c r="D427" s="97">
        <v>29</v>
      </c>
      <c r="E427" s="107">
        <v>496</v>
      </c>
    </row>
    <row r="428" spans="1:5" ht="28">
      <c r="A428" s="362"/>
      <c r="B428" s="365"/>
      <c r="C428" s="368"/>
      <c r="D428" s="98" t="s">
        <v>11</v>
      </c>
      <c r="E428" s="108">
        <v>2872</v>
      </c>
    </row>
    <row r="429" spans="1:5" ht="15">
      <c r="A429" s="362"/>
      <c r="B429" s="365"/>
      <c r="C429" s="368" t="s">
        <v>17</v>
      </c>
      <c r="D429" s="97">
        <v>30</v>
      </c>
      <c r="E429" s="107">
        <v>496</v>
      </c>
    </row>
    <row r="430" spans="1:5">
      <c r="A430" s="362"/>
      <c r="B430" s="365"/>
      <c r="C430" s="368"/>
      <c r="D430" s="98">
        <v>31</v>
      </c>
      <c r="E430" s="108">
        <v>450</v>
      </c>
    </row>
    <row r="431" spans="1:5" ht="15">
      <c r="A431" s="362"/>
      <c r="B431" s="365"/>
      <c r="C431" s="368"/>
      <c r="D431" s="97">
        <v>32</v>
      </c>
      <c r="E431" s="107">
        <v>506</v>
      </c>
    </row>
    <row r="432" spans="1:5">
      <c r="A432" s="362"/>
      <c r="B432" s="365"/>
      <c r="C432" s="368"/>
      <c r="D432" s="98">
        <v>33</v>
      </c>
      <c r="E432" s="108">
        <v>481</v>
      </c>
    </row>
    <row r="433" spans="1:5" ht="15">
      <c r="A433" s="362"/>
      <c r="B433" s="365"/>
      <c r="C433" s="368"/>
      <c r="D433" s="97">
        <v>34</v>
      </c>
      <c r="E433" s="107">
        <v>450</v>
      </c>
    </row>
    <row r="434" spans="1:5" ht="28">
      <c r="A434" s="362"/>
      <c r="B434" s="365"/>
      <c r="C434" s="368"/>
      <c r="D434" s="98" t="s">
        <v>11</v>
      </c>
      <c r="E434" s="108">
        <v>2383</v>
      </c>
    </row>
    <row r="435" spans="1:5" ht="15">
      <c r="A435" s="362"/>
      <c r="B435" s="365"/>
      <c r="C435" s="368" t="s">
        <v>18</v>
      </c>
      <c r="D435" s="97">
        <v>35</v>
      </c>
      <c r="E435" s="107">
        <v>466</v>
      </c>
    </row>
    <row r="436" spans="1:5">
      <c r="A436" s="362"/>
      <c r="B436" s="365"/>
      <c r="C436" s="368"/>
      <c r="D436" s="98">
        <v>36</v>
      </c>
      <c r="E436" s="108">
        <v>440</v>
      </c>
    </row>
    <row r="437" spans="1:5" ht="15">
      <c r="A437" s="362"/>
      <c r="B437" s="365"/>
      <c r="C437" s="368"/>
      <c r="D437" s="97">
        <v>37</v>
      </c>
      <c r="E437" s="107">
        <v>443</v>
      </c>
    </row>
    <row r="438" spans="1:5">
      <c r="A438" s="362"/>
      <c r="B438" s="365"/>
      <c r="C438" s="368"/>
      <c r="D438" s="98">
        <v>38</v>
      </c>
      <c r="E438" s="108">
        <v>444</v>
      </c>
    </row>
    <row r="439" spans="1:5" ht="15">
      <c r="A439" s="362"/>
      <c r="B439" s="365"/>
      <c r="C439" s="368"/>
      <c r="D439" s="97">
        <v>39</v>
      </c>
      <c r="E439" s="107">
        <v>358</v>
      </c>
    </row>
    <row r="440" spans="1:5" ht="28">
      <c r="A440" s="362"/>
      <c r="B440" s="365"/>
      <c r="C440" s="368"/>
      <c r="D440" s="98" t="s">
        <v>11</v>
      </c>
      <c r="E440" s="108">
        <v>2151</v>
      </c>
    </row>
    <row r="441" spans="1:5" ht="15">
      <c r="A441" s="362"/>
      <c r="B441" s="365"/>
      <c r="C441" s="368" t="s">
        <v>19</v>
      </c>
      <c r="D441" s="97">
        <v>40</v>
      </c>
      <c r="E441" s="107">
        <v>402</v>
      </c>
    </row>
    <row r="442" spans="1:5">
      <c r="A442" s="362"/>
      <c r="B442" s="365"/>
      <c r="C442" s="368"/>
      <c r="D442" s="98">
        <v>41</v>
      </c>
      <c r="E442" s="108">
        <v>343</v>
      </c>
    </row>
    <row r="443" spans="1:5" ht="15">
      <c r="A443" s="362"/>
      <c r="B443" s="365"/>
      <c r="C443" s="368"/>
      <c r="D443" s="97">
        <v>42</v>
      </c>
      <c r="E443" s="107">
        <v>379</v>
      </c>
    </row>
    <row r="444" spans="1:5">
      <c r="A444" s="362"/>
      <c r="B444" s="365"/>
      <c r="C444" s="368"/>
      <c r="D444" s="98">
        <v>43</v>
      </c>
      <c r="E444" s="108">
        <v>348</v>
      </c>
    </row>
    <row r="445" spans="1:5" ht="15">
      <c r="A445" s="362"/>
      <c r="B445" s="365"/>
      <c r="C445" s="368"/>
      <c r="D445" s="97">
        <v>44</v>
      </c>
      <c r="E445" s="107">
        <v>317</v>
      </c>
    </row>
    <row r="446" spans="1:5" ht="28">
      <c r="A446" s="362"/>
      <c r="B446" s="365"/>
      <c r="C446" s="368"/>
      <c r="D446" s="98" t="s">
        <v>11</v>
      </c>
      <c r="E446" s="108">
        <v>1789</v>
      </c>
    </row>
    <row r="447" spans="1:5" ht="15">
      <c r="A447" s="362"/>
      <c r="B447" s="365"/>
      <c r="C447" s="368" t="s">
        <v>20</v>
      </c>
      <c r="D447" s="97">
        <v>45</v>
      </c>
      <c r="E447" s="107">
        <v>335</v>
      </c>
    </row>
    <row r="448" spans="1:5">
      <c r="A448" s="362"/>
      <c r="B448" s="365"/>
      <c r="C448" s="368"/>
      <c r="D448" s="98">
        <v>46</v>
      </c>
      <c r="E448" s="108">
        <v>292</v>
      </c>
    </row>
    <row r="449" spans="1:5" ht="15">
      <c r="A449" s="362"/>
      <c r="B449" s="365"/>
      <c r="C449" s="368"/>
      <c r="D449" s="97">
        <v>47</v>
      </c>
      <c r="E449" s="107">
        <v>307</v>
      </c>
    </row>
    <row r="450" spans="1:5">
      <c r="A450" s="362"/>
      <c r="B450" s="365"/>
      <c r="C450" s="368"/>
      <c r="D450" s="98">
        <v>48</v>
      </c>
      <c r="E450" s="108">
        <v>323</v>
      </c>
    </row>
    <row r="451" spans="1:5" ht="15">
      <c r="A451" s="362"/>
      <c r="B451" s="365"/>
      <c r="C451" s="368"/>
      <c r="D451" s="97">
        <v>49</v>
      </c>
      <c r="E451" s="107">
        <v>305</v>
      </c>
    </row>
    <row r="452" spans="1:5" ht="28">
      <c r="A452" s="362"/>
      <c r="B452" s="365"/>
      <c r="C452" s="368"/>
      <c r="D452" s="98" t="s">
        <v>11</v>
      </c>
      <c r="E452" s="108">
        <v>1562</v>
      </c>
    </row>
    <row r="453" spans="1:5" ht="15">
      <c r="A453" s="362"/>
      <c r="B453" s="365"/>
      <c r="C453" s="368" t="s">
        <v>21</v>
      </c>
      <c r="D453" s="97">
        <v>50</v>
      </c>
      <c r="E453" s="107">
        <v>258</v>
      </c>
    </row>
    <row r="454" spans="1:5">
      <c r="A454" s="362"/>
      <c r="B454" s="365"/>
      <c r="C454" s="368"/>
      <c r="D454" s="98">
        <v>51</v>
      </c>
      <c r="E454" s="108">
        <v>251</v>
      </c>
    </row>
    <row r="455" spans="1:5" ht="15">
      <c r="A455" s="362"/>
      <c r="B455" s="365"/>
      <c r="C455" s="368"/>
      <c r="D455" s="97">
        <v>52</v>
      </c>
      <c r="E455" s="107">
        <v>249</v>
      </c>
    </row>
    <row r="456" spans="1:5">
      <c r="A456" s="362"/>
      <c r="B456" s="365"/>
      <c r="C456" s="368"/>
      <c r="D456" s="98">
        <v>53</v>
      </c>
      <c r="E456" s="108">
        <v>244</v>
      </c>
    </row>
    <row r="457" spans="1:5" ht="15">
      <c r="A457" s="362"/>
      <c r="B457" s="365"/>
      <c r="C457" s="368"/>
      <c r="D457" s="97">
        <v>54</v>
      </c>
      <c r="E457" s="107">
        <v>224</v>
      </c>
    </row>
    <row r="458" spans="1:5" ht="28">
      <c r="A458" s="362"/>
      <c r="B458" s="365"/>
      <c r="C458" s="368"/>
      <c r="D458" s="98" t="s">
        <v>11</v>
      </c>
      <c r="E458" s="108">
        <v>1226</v>
      </c>
    </row>
    <row r="459" spans="1:5" ht="15">
      <c r="A459" s="362"/>
      <c r="B459" s="365"/>
      <c r="C459" s="368" t="s">
        <v>22</v>
      </c>
      <c r="D459" s="97">
        <v>55</v>
      </c>
      <c r="E459" s="107">
        <v>218</v>
      </c>
    </row>
    <row r="460" spans="1:5">
      <c r="A460" s="362"/>
      <c r="B460" s="365"/>
      <c r="C460" s="368"/>
      <c r="D460" s="98">
        <v>56</v>
      </c>
      <c r="E460" s="108">
        <v>219</v>
      </c>
    </row>
    <row r="461" spans="1:5" ht="15">
      <c r="A461" s="362"/>
      <c r="B461" s="365"/>
      <c r="C461" s="368"/>
      <c r="D461" s="97">
        <v>57</v>
      </c>
      <c r="E461" s="107">
        <v>225</v>
      </c>
    </row>
    <row r="462" spans="1:5">
      <c r="A462" s="362"/>
      <c r="B462" s="365"/>
      <c r="C462" s="368"/>
      <c r="D462" s="98">
        <v>58</v>
      </c>
      <c r="E462" s="108">
        <v>189</v>
      </c>
    </row>
    <row r="463" spans="1:5" ht="15">
      <c r="A463" s="362"/>
      <c r="B463" s="365"/>
      <c r="C463" s="368"/>
      <c r="D463" s="97">
        <v>59</v>
      </c>
      <c r="E463" s="107">
        <v>197</v>
      </c>
    </row>
    <row r="464" spans="1:5" ht="28">
      <c r="A464" s="362"/>
      <c r="B464" s="365"/>
      <c r="C464" s="368"/>
      <c r="D464" s="98" t="s">
        <v>11</v>
      </c>
      <c r="E464" s="108">
        <v>1048</v>
      </c>
    </row>
    <row r="465" spans="1:5" ht="15">
      <c r="A465" s="362"/>
      <c r="B465" s="365"/>
      <c r="C465" s="368" t="s">
        <v>23</v>
      </c>
      <c r="D465" s="97">
        <v>60</v>
      </c>
      <c r="E465" s="107">
        <v>185</v>
      </c>
    </row>
    <row r="466" spans="1:5">
      <c r="A466" s="362"/>
      <c r="B466" s="365"/>
      <c r="C466" s="368"/>
      <c r="D466" s="98">
        <v>61</v>
      </c>
      <c r="E466" s="108">
        <v>169</v>
      </c>
    </row>
    <row r="467" spans="1:5" ht="15">
      <c r="A467" s="362"/>
      <c r="B467" s="365"/>
      <c r="C467" s="368"/>
      <c r="D467" s="97">
        <v>62</v>
      </c>
      <c r="E467" s="107">
        <v>155</v>
      </c>
    </row>
    <row r="468" spans="1:5">
      <c r="A468" s="362"/>
      <c r="B468" s="365"/>
      <c r="C468" s="368"/>
      <c r="D468" s="98">
        <v>63</v>
      </c>
      <c r="E468" s="108">
        <v>131</v>
      </c>
    </row>
    <row r="469" spans="1:5" ht="15">
      <c r="A469" s="362"/>
      <c r="B469" s="365"/>
      <c r="C469" s="368"/>
      <c r="D469" s="97">
        <v>64</v>
      </c>
      <c r="E469" s="107">
        <v>131</v>
      </c>
    </row>
    <row r="470" spans="1:5" ht="28">
      <c r="A470" s="362"/>
      <c r="B470" s="365"/>
      <c r="C470" s="368"/>
      <c r="D470" s="98" t="s">
        <v>11</v>
      </c>
      <c r="E470" s="108">
        <v>771</v>
      </c>
    </row>
    <row r="471" spans="1:5" ht="15">
      <c r="A471" s="362"/>
      <c r="B471" s="365"/>
      <c r="C471" s="368" t="s">
        <v>24</v>
      </c>
      <c r="D471" s="97">
        <v>65</v>
      </c>
      <c r="E471" s="107">
        <v>132</v>
      </c>
    </row>
    <row r="472" spans="1:5">
      <c r="A472" s="362"/>
      <c r="B472" s="365"/>
      <c r="C472" s="368"/>
      <c r="D472" s="98">
        <v>66</v>
      </c>
      <c r="E472" s="108">
        <v>120</v>
      </c>
    </row>
    <row r="473" spans="1:5" ht="15">
      <c r="A473" s="362"/>
      <c r="B473" s="365"/>
      <c r="C473" s="368"/>
      <c r="D473" s="97">
        <v>67</v>
      </c>
      <c r="E473" s="107">
        <v>104</v>
      </c>
    </row>
    <row r="474" spans="1:5">
      <c r="A474" s="362"/>
      <c r="B474" s="365"/>
      <c r="C474" s="368"/>
      <c r="D474" s="98">
        <v>68</v>
      </c>
      <c r="E474" s="108">
        <v>114</v>
      </c>
    </row>
    <row r="475" spans="1:5" ht="15">
      <c r="A475" s="362"/>
      <c r="B475" s="365"/>
      <c r="C475" s="368"/>
      <c r="D475" s="97">
        <v>69</v>
      </c>
      <c r="E475" s="107">
        <v>85</v>
      </c>
    </row>
    <row r="476" spans="1:5" ht="28">
      <c r="A476" s="362"/>
      <c r="B476" s="365"/>
      <c r="C476" s="368"/>
      <c r="D476" s="98" t="s">
        <v>11</v>
      </c>
      <c r="E476" s="108">
        <v>555</v>
      </c>
    </row>
    <row r="477" spans="1:5" ht="15">
      <c r="A477" s="362"/>
      <c r="B477" s="365"/>
      <c r="C477" s="368" t="s">
        <v>25</v>
      </c>
      <c r="D477" s="97">
        <v>70</v>
      </c>
      <c r="E477" s="107">
        <v>86</v>
      </c>
    </row>
    <row r="478" spans="1:5">
      <c r="A478" s="362"/>
      <c r="B478" s="365"/>
      <c r="C478" s="368"/>
      <c r="D478" s="98">
        <v>71</v>
      </c>
      <c r="E478" s="108">
        <v>93</v>
      </c>
    </row>
    <row r="479" spans="1:5" ht="15">
      <c r="A479" s="362"/>
      <c r="B479" s="365"/>
      <c r="C479" s="368"/>
      <c r="D479" s="97">
        <v>72</v>
      </c>
      <c r="E479" s="107">
        <v>66</v>
      </c>
    </row>
    <row r="480" spans="1:5">
      <c r="A480" s="362"/>
      <c r="B480" s="365"/>
      <c r="C480" s="368"/>
      <c r="D480" s="98">
        <v>73</v>
      </c>
      <c r="E480" s="108">
        <v>55</v>
      </c>
    </row>
    <row r="481" spans="1:5" ht="15">
      <c r="A481" s="362"/>
      <c r="B481" s="365"/>
      <c r="C481" s="368"/>
      <c r="D481" s="97">
        <v>74</v>
      </c>
      <c r="E481" s="107">
        <v>43</v>
      </c>
    </row>
    <row r="482" spans="1:5" ht="28">
      <c r="A482" s="362"/>
      <c r="B482" s="365"/>
      <c r="C482" s="368"/>
      <c r="D482" s="98" t="s">
        <v>11</v>
      </c>
      <c r="E482" s="108">
        <v>343</v>
      </c>
    </row>
    <row r="483" spans="1:5" ht="15">
      <c r="A483" s="362"/>
      <c r="B483" s="365"/>
      <c r="C483" s="368" t="s">
        <v>26</v>
      </c>
      <c r="D483" s="97">
        <v>75</v>
      </c>
      <c r="E483" s="107">
        <v>56</v>
      </c>
    </row>
    <row r="484" spans="1:5">
      <c r="A484" s="362"/>
      <c r="B484" s="365"/>
      <c r="C484" s="368"/>
      <c r="D484" s="98">
        <v>76</v>
      </c>
      <c r="E484" s="108">
        <v>49</v>
      </c>
    </row>
    <row r="485" spans="1:5" ht="15">
      <c r="A485" s="362"/>
      <c r="B485" s="365"/>
      <c r="C485" s="368"/>
      <c r="D485" s="97">
        <v>77</v>
      </c>
      <c r="E485" s="107">
        <v>51</v>
      </c>
    </row>
    <row r="486" spans="1:5">
      <c r="A486" s="362"/>
      <c r="B486" s="365"/>
      <c r="C486" s="368"/>
      <c r="D486" s="98">
        <v>78</v>
      </c>
      <c r="E486" s="108">
        <v>39</v>
      </c>
    </row>
    <row r="487" spans="1:5" ht="15">
      <c r="A487" s="362"/>
      <c r="B487" s="365"/>
      <c r="C487" s="368"/>
      <c r="D487" s="97">
        <v>79</v>
      </c>
      <c r="E487" s="107">
        <v>34</v>
      </c>
    </row>
    <row r="488" spans="1:5" ht="28">
      <c r="A488" s="362"/>
      <c r="B488" s="365"/>
      <c r="C488" s="368"/>
      <c r="D488" s="98" t="s">
        <v>11</v>
      </c>
      <c r="E488" s="108">
        <v>229</v>
      </c>
    </row>
    <row r="489" spans="1:5" ht="15">
      <c r="A489" s="362"/>
      <c r="B489" s="365"/>
      <c r="C489" s="368" t="s">
        <v>27</v>
      </c>
      <c r="D489" s="97">
        <v>80</v>
      </c>
      <c r="E489" s="107">
        <v>33</v>
      </c>
    </row>
    <row r="490" spans="1:5">
      <c r="A490" s="362"/>
      <c r="B490" s="365"/>
      <c r="C490" s="368"/>
      <c r="D490" s="98">
        <v>81</v>
      </c>
      <c r="E490" s="108">
        <v>27</v>
      </c>
    </row>
    <row r="491" spans="1:5" ht="15">
      <c r="A491" s="362"/>
      <c r="B491" s="365"/>
      <c r="C491" s="368"/>
      <c r="D491" s="97">
        <v>82</v>
      </c>
      <c r="E491" s="107">
        <v>22</v>
      </c>
    </row>
    <row r="492" spans="1:5">
      <c r="A492" s="362"/>
      <c r="B492" s="365"/>
      <c r="C492" s="368"/>
      <c r="D492" s="98">
        <v>83</v>
      </c>
      <c r="E492" s="108">
        <v>21</v>
      </c>
    </row>
    <row r="493" spans="1:5" ht="15">
      <c r="A493" s="362"/>
      <c r="B493" s="365"/>
      <c r="C493" s="368"/>
      <c r="D493" s="97">
        <v>84</v>
      </c>
      <c r="E493" s="107">
        <v>17</v>
      </c>
    </row>
    <row r="494" spans="1:5" ht="28">
      <c r="A494" s="362"/>
      <c r="B494" s="365"/>
      <c r="C494" s="368"/>
      <c r="D494" s="98" t="s">
        <v>11</v>
      </c>
      <c r="E494" s="108">
        <v>120</v>
      </c>
    </row>
    <row r="495" spans="1:5" ht="15">
      <c r="A495" s="362"/>
      <c r="B495" s="365"/>
      <c r="C495" s="368" t="s">
        <v>28</v>
      </c>
      <c r="D495" s="97">
        <v>85</v>
      </c>
      <c r="E495" s="107">
        <v>15</v>
      </c>
    </row>
    <row r="496" spans="1:5">
      <c r="A496" s="362"/>
      <c r="B496" s="365"/>
      <c r="C496" s="368"/>
      <c r="D496" s="98">
        <v>86</v>
      </c>
      <c r="E496" s="108">
        <v>11</v>
      </c>
    </row>
    <row r="497" spans="1:5" ht="15">
      <c r="A497" s="362"/>
      <c r="B497" s="365"/>
      <c r="C497" s="368"/>
      <c r="D497" s="97">
        <v>87</v>
      </c>
      <c r="E497" s="107">
        <v>24</v>
      </c>
    </row>
    <row r="498" spans="1:5">
      <c r="A498" s="362"/>
      <c r="B498" s="365"/>
      <c r="C498" s="368"/>
      <c r="D498" s="98">
        <v>88</v>
      </c>
      <c r="E498" s="108">
        <v>13</v>
      </c>
    </row>
    <row r="499" spans="1:5" ht="15">
      <c r="A499" s="362"/>
      <c r="B499" s="365"/>
      <c r="C499" s="368"/>
      <c r="D499" s="97">
        <v>89</v>
      </c>
      <c r="E499" s="107">
        <v>10</v>
      </c>
    </row>
    <row r="500" spans="1:5" ht="28">
      <c r="A500" s="362"/>
      <c r="B500" s="365"/>
      <c r="C500" s="368"/>
      <c r="D500" s="98" t="s">
        <v>11</v>
      </c>
      <c r="E500" s="108">
        <v>73</v>
      </c>
    </row>
    <row r="501" spans="1:5" ht="15">
      <c r="A501" s="362"/>
      <c r="B501" s="365"/>
      <c r="C501" s="368" t="s">
        <v>29</v>
      </c>
      <c r="D501" s="97">
        <v>90</v>
      </c>
      <c r="E501" s="107">
        <v>9</v>
      </c>
    </row>
    <row r="502" spans="1:5">
      <c r="A502" s="362"/>
      <c r="B502" s="365"/>
      <c r="C502" s="368"/>
      <c r="D502" s="98">
        <v>91</v>
      </c>
      <c r="E502" s="108">
        <v>6</v>
      </c>
    </row>
    <row r="503" spans="1:5" ht="15">
      <c r="A503" s="362"/>
      <c r="B503" s="365"/>
      <c r="C503" s="368"/>
      <c r="D503" s="97">
        <v>92</v>
      </c>
      <c r="E503" s="107">
        <v>12</v>
      </c>
    </row>
    <row r="504" spans="1:5">
      <c r="A504" s="362"/>
      <c r="B504" s="365"/>
      <c r="C504" s="368"/>
      <c r="D504" s="98">
        <v>93</v>
      </c>
      <c r="E504" s="108">
        <v>10</v>
      </c>
    </row>
    <row r="505" spans="1:5" ht="15">
      <c r="A505" s="362"/>
      <c r="B505" s="365"/>
      <c r="C505" s="368"/>
      <c r="D505" s="97">
        <v>94</v>
      </c>
      <c r="E505" s="107">
        <v>3</v>
      </c>
    </row>
    <row r="506" spans="1:5" ht="28">
      <c r="A506" s="362"/>
      <c r="B506" s="365"/>
      <c r="C506" s="368"/>
      <c r="D506" s="98" t="s">
        <v>11</v>
      </c>
      <c r="E506" s="108">
        <v>40</v>
      </c>
    </row>
    <row r="507" spans="1:5" ht="15">
      <c r="A507" s="362"/>
      <c r="B507" s="365"/>
      <c r="C507" s="368" t="s">
        <v>30</v>
      </c>
      <c r="D507" s="97">
        <v>95</v>
      </c>
      <c r="E507" s="107">
        <v>2</v>
      </c>
    </row>
    <row r="508" spans="1:5">
      <c r="A508" s="362"/>
      <c r="B508" s="365"/>
      <c r="C508" s="368"/>
      <c r="D508" s="98">
        <v>97</v>
      </c>
      <c r="E508" s="108">
        <v>4</v>
      </c>
    </row>
    <row r="509" spans="1:5" ht="15">
      <c r="A509" s="362"/>
      <c r="B509" s="365"/>
      <c r="C509" s="368"/>
      <c r="D509" s="97">
        <v>98</v>
      </c>
      <c r="E509" s="107">
        <v>1</v>
      </c>
    </row>
    <row r="510" spans="1:5">
      <c r="A510" s="362"/>
      <c r="B510" s="365"/>
      <c r="C510" s="368"/>
      <c r="D510" s="98">
        <v>99</v>
      </c>
      <c r="E510" s="108">
        <v>4</v>
      </c>
    </row>
    <row r="511" spans="1:5" ht="28">
      <c r="A511" s="362"/>
      <c r="B511" s="365"/>
      <c r="C511" s="368"/>
      <c r="D511" s="97" t="s">
        <v>11</v>
      </c>
      <c r="E511" s="107">
        <v>11</v>
      </c>
    </row>
    <row r="512" spans="1:5">
      <c r="A512" s="362"/>
      <c r="B512" s="365"/>
      <c r="C512" s="368" t="s">
        <v>31</v>
      </c>
      <c r="D512" s="98">
        <v>100</v>
      </c>
      <c r="E512" s="108">
        <v>2</v>
      </c>
    </row>
    <row r="513" spans="1:5" ht="15">
      <c r="A513" s="362"/>
      <c r="B513" s="365"/>
      <c r="C513" s="368"/>
      <c r="D513" s="97">
        <v>101</v>
      </c>
      <c r="E513" s="107">
        <v>2</v>
      </c>
    </row>
    <row r="514" spans="1:5">
      <c r="A514" s="362"/>
      <c r="B514" s="365"/>
      <c r="C514" s="368"/>
      <c r="D514" s="98">
        <v>102</v>
      </c>
      <c r="E514" s="108">
        <v>1</v>
      </c>
    </row>
    <row r="515" spans="1:5" ht="15">
      <c r="A515" s="362"/>
      <c r="B515" s="365"/>
      <c r="C515" s="368"/>
      <c r="D515" s="97">
        <v>104</v>
      </c>
      <c r="E515" s="107">
        <v>1</v>
      </c>
    </row>
    <row r="516" spans="1:5" ht="28">
      <c r="A516" s="362"/>
      <c r="B516" s="365"/>
      <c r="C516" s="368"/>
      <c r="D516" s="98" t="s">
        <v>11</v>
      </c>
      <c r="E516" s="108">
        <v>6</v>
      </c>
    </row>
    <row r="517" spans="1:5" ht="15">
      <c r="A517" s="362"/>
      <c r="B517" s="365"/>
      <c r="C517" s="368" t="s">
        <v>32</v>
      </c>
      <c r="D517" s="97">
        <v>106</v>
      </c>
      <c r="E517" s="107">
        <v>1</v>
      </c>
    </row>
    <row r="518" spans="1:5" ht="28">
      <c r="A518" s="362"/>
      <c r="B518" s="365"/>
      <c r="C518" s="368"/>
      <c r="D518" s="98" t="s">
        <v>11</v>
      </c>
      <c r="E518" s="108">
        <v>1</v>
      </c>
    </row>
    <row r="519" spans="1:5" ht="15">
      <c r="A519" s="362"/>
      <c r="B519" s="365"/>
      <c r="C519" s="368" t="s">
        <v>33</v>
      </c>
      <c r="D519" s="97">
        <v>111</v>
      </c>
      <c r="E519" s="107">
        <v>1</v>
      </c>
    </row>
    <row r="520" spans="1:5">
      <c r="A520" s="362"/>
      <c r="B520" s="365"/>
      <c r="C520" s="368"/>
      <c r="D520" s="98">
        <v>112</v>
      </c>
      <c r="E520" s="108">
        <v>1</v>
      </c>
    </row>
    <row r="521" spans="1:5" ht="28">
      <c r="A521" s="362"/>
      <c r="B521" s="365"/>
      <c r="C521" s="368"/>
      <c r="D521" s="97" t="s">
        <v>11</v>
      </c>
      <c r="E521" s="107">
        <v>2</v>
      </c>
    </row>
    <row r="522" spans="1:5">
      <c r="A522" s="362"/>
      <c r="B522" s="365"/>
      <c r="C522" s="368" t="s">
        <v>34</v>
      </c>
      <c r="D522" s="98">
        <v>115</v>
      </c>
      <c r="E522" s="108">
        <v>1</v>
      </c>
    </row>
    <row r="523" spans="1:5" ht="15">
      <c r="A523" s="362"/>
      <c r="B523" s="365"/>
      <c r="C523" s="368"/>
      <c r="D523" s="97">
        <v>119</v>
      </c>
      <c r="E523" s="107">
        <v>1</v>
      </c>
    </row>
    <row r="524" spans="1:5" ht="28">
      <c r="A524" s="362"/>
      <c r="B524" s="365"/>
      <c r="C524" s="368"/>
      <c r="D524" s="98" t="s">
        <v>11</v>
      </c>
      <c r="E524" s="108">
        <v>2</v>
      </c>
    </row>
    <row r="525" spans="1:5" ht="15">
      <c r="A525" s="362"/>
      <c r="B525" s="365" t="s">
        <v>104</v>
      </c>
      <c r="C525" s="368" t="s">
        <v>10</v>
      </c>
      <c r="D525" s="97">
        <v>0</v>
      </c>
      <c r="E525" s="107">
        <v>204</v>
      </c>
    </row>
    <row r="526" spans="1:5">
      <c r="A526" s="362"/>
      <c r="B526" s="365"/>
      <c r="C526" s="368"/>
      <c r="D526" s="98">
        <v>1</v>
      </c>
      <c r="E526" s="108">
        <v>230</v>
      </c>
    </row>
    <row r="527" spans="1:5" ht="15">
      <c r="A527" s="362"/>
      <c r="B527" s="365"/>
      <c r="C527" s="368"/>
      <c r="D527" s="97">
        <v>2</v>
      </c>
      <c r="E527" s="107">
        <v>232</v>
      </c>
    </row>
    <row r="528" spans="1:5">
      <c r="A528" s="362"/>
      <c r="B528" s="365"/>
      <c r="C528" s="368"/>
      <c r="D528" s="98">
        <v>3</v>
      </c>
      <c r="E528" s="108">
        <v>228</v>
      </c>
    </row>
    <row r="529" spans="1:5" ht="15">
      <c r="A529" s="362"/>
      <c r="B529" s="365"/>
      <c r="C529" s="368"/>
      <c r="D529" s="97">
        <v>4</v>
      </c>
      <c r="E529" s="107">
        <v>262</v>
      </c>
    </row>
    <row r="530" spans="1:5" ht="28">
      <c r="A530" s="362"/>
      <c r="B530" s="365"/>
      <c r="C530" s="368"/>
      <c r="D530" s="98" t="s">
        <v>11</v>
      </c>
      <c r="E530" s="108">
        <v>1156</v>
      </c>
    </row>
    <row r="531" spans="1:5" ht="15">
      <c r="A531" s="362"/>
      <c r="B531" s="365"/>
      <c r="C531" s="368" t="s">
        <v>12</v>
      </c>
      <c r="D531" s="97">
        <v>5</v>
      </c>
      <c r="E531" s="107">
        <v>279</v>
      </c>
    </row>
    <row r="532" spans="1:5">
      <c r="A532" s="362"/>
      <c r="B532" s="365"/>
      <c r="C532" s="368"/>
      <c r="D532" s="98">
        <v>6</v>
      </c>
      <c r="E532" s="108">
        <v>294</v>
      </c>
    </row>
    <row r="533" spans="1:5" ht="15">
      <c r="A533" s="362"/>
      <c r="B533" s="365"/>
      <c r="C533" s="368"/>
      <c r="D533" s="97">
        <v>7</v>
      </c>
      <c r="E533" s="107">
        <v>246</v>
      </c>
    </row>
    <row r="534" spans="1:5">
      <c r="A534" s="362"/>
      <c r="B534" s="365"/>
      <c r="C534" s="368"/>
      <c r="D534" s="98">
        <v>8</v>
      </c>
      <c r="E534" s="108">
        <v>285</v>
      </c>
    </row>
    <row r="535" spans="1:5" ht="15">
      <c r="A535" s="362"/>
      <c r="B535" s="365"/>
      <c r="C535" s="368"/>
      <c r="D535" s="97">
        <v>9</v>
      </c>
      <c r="E535" s="107">
        <v>226</v>
      </c>
    </row>
    <row r="536" spans="1:5" ht="28">
      <c r="A536" s="362"/>
      <c r="B536" s="365"/>
      <c r="C536" s="368"/>
      <c r="D536" s="98" t="s">
        <v>11</v>
      </c>
      <c r="E536" s="108">
        <v>1330</v>
      </c>
    </row>
    <row r="537" spans="1:5" ht="15">
      <c r="A537" s="362"/>
      <c r="B537" s="365"/>
      <c r="C537" s="368" t="s">
        <v>13</v>
      </c>
      <c r="D537" s="97">
        <v>10</v>
      </c>
      <c r="E537" s="107">
        <v>251</v>
      </c>
    </row>
    <row r="538" spans="1:5">
      <c r="A538" s="362"/>
      <c r="B538" s="365"/>
      <c r="C538" s="368"/>
      <c r="D538" s="98">
        <v>11</v>
      </c>
      <c r="E538" s="108">
        <v>243</v>
      </c>
    </row>
    <row r="539" spans="1:5" ht="15">
      <c r="A539" s="362"/>
      <c r="B539" s="365"/>
      <c r="C539" s="368"/>
      <c r="D539" s="97">
        <v>12</v>
      </c>
      <c r="E539" s="107">
        <v>243</v>
      </c>
    </row>
    <row r="540" spans="1:5">
      <c r="A540" s="362"/>
      <c r="B540" s="365"/>
      <c r="C540" s="368"/>
      <c r="D540" s="98">
        <v>13</v>
      </c>
      <c r="E540" s="108">
        <v>234</v>
      </c>
    </row>
    <row r="541" spans="1:5" ht="15">
      <c r="A541" s="362"/>
      <c r="B541" s="365"/>
      <c r="C541" s="368"/>
      <c r="D541" s="97">
        <v>14</v>
      </c>
      <c r="E541" s="107">
        <v>241</v>
      </c>
    </row>
    <row r="542" spans="1:5" ht="28">
      <c r="A542" s="362"/>
      <c r="B542" s="365"/>
      <c r="C542" s="368"/>
      <c r="D542" s="98" t="s">
        <v>11</v>
      </c>
      <c r="E542" s="108">
        <v>1212</v>
      </c>
    </row>
    <row r="543" spans="1:5" ht="15">
      <c r="A543" s="362"/>
      <c r="B543" s="365"/>
      <c r="C543" s="368" t="s">
        <v>14</v>
      </c>
      <c r="D543" s="97">
        <v>15</v>
      </c>
      <c r="E543" s="107">
        <v>209</v>
      </c>
    </row>
    <row r="544" spans="1:5">
      <c r="A544" s="362"/>
      <c r="B544" s="365"/>
      <c r="C544" s="368"/>
      <c r="D544" s="98">
        <v>16</v>
      </c>
      <c r="E544" s="108">
        <v>231</v>
      </c>
    </row>
    <row r="545" spans="1:5" ht="15">
      <c r="A545" s="362"/>
      <c r="B545" s="365"/>
      <c r="C545" s="368"/>
      <c r="D545" s="97">
        <v>17</v>
      </c>
      <c r="E545" s="107">
        <v>225</v>
      </c>
    </row>
    <row r="546" spans="1:5">
      <c r="A546" s="362"/>
      <c r="B546" s="365"/>
      <c r="C546" s="368"/>
      <c r="D546" s="98">
        <v>18</v>
      </c>
      <c r="E546" s="108">
        <v>314</v>
      </c>
    </row>
    <row r="547" spans="1:5" ht="15">
      <c r="A547" s="362"/>
      <c r="B547" s="365"/>
      <c r="C547" s="368"/>
      <c r="D547" s="97">
        <v>19</v>
      </c>
      <c r="E547" s="107">
        <v>280</v>
      </c>
    </row>
    <row r="548" spans="1:5" ht="28">
      <c r="A548" s="362"/>
      <c r="B548" s="365"/>
      <c r="C548" s="368"/>
      <c r="D548" s="98" t="s">
        <v>11</v>
      </c>
      <c r="E548" s="108">
        <v>1259</v>
      </c>
    </row>
    <row r="549" spans="1:5" ht="15">
      <c r="A549" s="362"/>
      <c r="B549" s="365"/>
      <c r="C549" s="368" t="s">
        <v>15</v>
      </c>
      <c r="D549" s="97">
        <v>20</v>
      </c>
      <c r="E549" s="107">
        <v>249</v>
      </c>
    </row>
    <row r="550" spans="1:5">
      <c r="A550" s="362"/>
      <c r="B550" s="365"/>
      <c r="C550" s="368"/>
      <c r="D550" s="98">
        <v>21</v>
      </c>
      <c r="E550" s="108">
        <v>222</v>
      </c>
    </row>
    <row r="551" spans="1:5" ht="15">
      <c r="A551" s="362"/>
      <c r="B551" s="365"/>
      <c r="C551" s="368"/>
      <c r="D551" s="97">
        <v>22</v>
      </c>
      <c r="E551" s="107">
        <v>229</v>
      </c>
    </row>
    <row r="552" spans="1:5">
      <c r="A552" s="362"/>
      <c r="B552" s="365"/>
      <c r="C552" s="368"/>
      <c r="D552" s="98">
        <v>23</v>
      </c>
      <c r="E552" s="108">
        <v>216</v>
      </c>
    </row>
    <row r="553" spans="1:5" ht="15">
      <c r="A553" s="362"/>
      <c r="B553" s="365"/>
      <c r="C553" s="368"/>
      <c r="D553" s="97">
        <v>24</v>
      </c>
      <c r="E553" s="107">
        <v>187</v>
      </c>
    </row>
    <row r="554" spans="1:5" ht="28">
      <c r="A554" s="362"/>
      <c r="B554" s="365"/>
      <c r="C554" s="368"/>
      <c r="D554" s="98" t="s">
        <v>11</v>
      </c>
      <c r="E554" s="108">
        <v>1103</v>
      </c>
    </row>
    <row r="555" spans="1:5" ht="15">
      <c r="A555" s="362"/>
      <c r="B555" s="365"/>
      <c r="C555" s="368" t="s">
        <v>16</v>
      </c>
      <c r="D555" s="97">
        <v>25</v>
      </c>
      <c r="E555" s="107">
        <v>226</v>
      </c>
    </row>
    <row r="556" spans="1:5">
      <c r="A556" s="362"/>
      <c r="B556" s="365"/>
      <c r="C556" s="368"/>
      <c r="D556" s="98">
        <v>26</v>
      </c>
      <c r="E556" s="108">
        <v>199</v>
      </c>
    </row>
    <row r="557" spans="1:5" ht="15">
      <c r="A557" s="362"/>
      <c r="B557" s="365"/>
      <c r="C557" s="368"/>
      <c r="D557" s="97">
        <v>27</v>
      </c>
      <c r="E557" s="107">
        <v>176</v>
      </c>
    </row>
    <row r="558" spans="1:5">
      <c r="A558" s="362"/>
      <c r="B558" s="365"/>
      <c r="C558" s="368"/>
      <c r="D558" s="98">
        <v>28</v>
      </c>
      <c r="E558" s="108">
        <v>211</v>
      </c>
    </row>
    <row r="559" spans="1:5" ht="15">
      <c r="A559" s="362"/>
      <c r="B559" s="365"/>
      <c r="C559" s="368"/>
      <c r="D559" s="97">
        <v>29</v>
      </c>
      <c r="E559" s="107">
        <v>215</v>
      </c>
    </row>
    <row r="560" spans="1:5" ht="28">
      <c r="A560" s="362"/>
      <c r="B560" s="365"/>
      <c r="C560" s="368"/>
      <c r="D560" s="98" t="s">
        <v>11</v>
      </c>
      <c r="E560" s="108">
        <v>1027</v>
      </c>
    </row>
    <row r="561" spans="1:5" ht="15">
      <c r="A561" s="362"/>
      <c r="B561" s="365"/>
      <c r="C561" s="368" t="s">
        <v>17</v>
      </c>
      <c r="D561" s="97">
        <v>30</v>
      </c>
      <c r="E561" s="107">
        <v>166</v>
      </c>
    </row>
    <row r="562" spans="1:5">
      <c r="A562" s="362"/>
      <c r="B562" s="365"/>
      <c r="C562" s="368"/>
      <c r="D562" s="98">
        <v>31</v>
      </c>
      <c r="E562" s="108">
        <v>172</v>
      </c>
    </row>
    <row r="563" spans="1:5" ht="15">
      <c r="A563" s="362"/>
      <c r="B563" s="365"/>
      <c r="C563" s="368"/>
      <c r="D563" s="97">
        <v>32</v>
      </c>
      <c r="E563" s="107">
        <v>241</v>
      </c>
    </row>
    <row r="564" spans="1:5">
      <c r="A564" s="362"/>
      <c r="B564" s="365"/>
      <c r="C564" s="368"/>
      <c r="D564" s="98">
        <v>33</v>
      </c>
      <c r="E564" s="108">
        <v>162</v>
      </c>
    </row>
    <row r="565" spans="1:5" ht="15">
      <c r="A565" s="362"/>
      <c r="B565" s="365"/>
      <c r="C565" s="368"/>
      <c r="D565" s="97">
        <v>34</v>
      </c>
      <c r="E565" s="107">
        <v>176</v>
      </c>
    </row>
    <row r="566" spans="1:5" ht="28">
      <c r="A566" s="362"/>
      <c r="B566" s="365"/>
      <c r="C566" s="368"/>
      <c r="D566" s="98" t="s">
        <v>11</v>
      </c>
      <c r="E566" s="108">
        <v>917</v>
      </c>
    </row>
    <row r="567" spans="1:5" ht="15">
      <c r="A567" s="362"/>
      <c r="B567" s="365"/>
      <c r="C567" s="368" t="s">
        <v>18</v>
      </c>
      <c r="D567" s="97">
        <v>35</v>
      </c>
      <c r="E567" s="107">
        <v>162</v>
      </c>
    </row>
    <row r="568" spans="1:5">
      <c r="A568" s="362"/>
      <c r="B568" s="365"/>
      <c r="C568" s="368"/>
      <c r="D568" s="98">
        <v>36</v>
      </c>
      <c r="E568" s="108">
        <v>178</v>
      </c>
    </row>
    <row r="569" spans="1:5" ht="15">
      <c r="A569" s="362"/>
      <c r="B569" s="365"/>
      <c r="C569" s="368"/>
      <c r="D569" s="97">
        <v>37</v>
      </c>
      <c r="E569" s="107">
        <v>159</v>
      </c>
    </row>
    <row r="570" spans="1:5">
      <c r="A570" s="362"/>
      <c r="B570" s="365"/>
      <c r="C570" s="368"/>
      <c r="D570" s="98">
        <v>38</v>
      </c>
      <c r="E570" s="108">
        <v>178</v>
      </c>
    </row>
    <row r="571" spans="1:5" ht="15">
      <c r="A571" s="362"/>
      <c r="B571" s="365"/>
      <c r="C571" s="368"/>
      <c r="D571" s="97">
        <v>39</v>
      </c>
      <c r="E571" s="107">
        <v>153</v>
      </c>
    </row>
    <row r="572" spans="1:5" ht="28">
      <c r="A572" s="362"/>
      <c r="B572" s="365"/>
      <c r="C572" s="368"/>
      <c r="D572" s="98" t="s">
        <v>11</v>
      </c>
      <c r="E572" s="108">
        <v>830</v>
      </c>
    </row>
    <row r="573" spans="1:5" ht="15">
      <c r="A573" s="362"/>
      <c r="B573" s="365"/>
      <c r="C573" s="368" t="s">
        <v>19</v>
      </c>
      <c r="D573" s="97">
        <v>40</v>
      </c>
      <c r="E573" s="107">
        <v>155</v>
      </c>
    </row>
    <row r="574" spans="1:5">
      <c r="A574" s="362"/>
      <c r="B574" s="365"/>
      <c r="C574" s="368"/>
      <c r="D574" s="98">
        <v>41</v>
      </c>
      <c r="E574" s="108">
        <v>121</v>
      </c>
    </row>
    <row r="575" spans="1:5" ht="15">
      <c r="A575" s="362"/>
      <c r="B575" s="365"/>
      <c r="C575" s="368"/>
      <c r="D575" s="97">
        <v>42</v>
      </c>
      <c r="E575" s="107">
        <v>126</v>
      </c>
    </row>
    <row r="576" spans="1:5">
      <c r="A576" s="362"/>
      <c r="B576" s="365"/>
      <c r="C576" s="368"/>
      <c r="D576" s="98">
        <v>43</v>
      </c>
      <c r="E576" s="108">
        <v>117</v>
      </c>
    </row>
    <row r="577" spans="1:5" ht="15">
      <c r="A577" s="362"/>
      <c r="B577" s="365"/>
      <c r="C577" s="368"/>
      <c r="D577" s="97">
        <v>44</v>
      </c>
      <c r="E577" s="107">
        <v>95</v>
      </c>
    </row>
    <row r="578" spans="1:5" ht="28">
      <c r="A578" s="362"/>
      <c r="B578" s="365"/>
      <c r="C578" s="368"/>
      <c r="D578" s="98" t="s">
        <v>11</v>
      </c>
      <c r="E578" s="108">
        <v>614</v>
      </c>
    </row>
    <row r="579" spans="1:5" ht="15">
      <c r="A579" s="362"/>
      <c r="B579" s="365"/>
      <c r="C579" s="368" t="s">
        <v>20</v>
      </c>
      <c r="D579" s="97">
        <v>45</v>
      </c>
      <c r="E579" s="107">
        <v>98</v>
      </c>
    </row>
    <row r="580" spans="1:5">
      <c r="A580" s="362"/>
      <c r="B580" s="365"/>
      <c r="C580" s="368"/>
      <c r="D580" s="98">
        <v>46</v>
      </c>
      <c r="E580" s="108">
        <v>101</v>
      </c>
    </row>
    <row r="581" spans="1:5" ht="15">
      <c r="A581" s="362"/>
      <c r="B581" s="365"/>
      <c r="C581" s="368"/>
      <c r="D581" s="97">
        <v>47</v>
      </c>
      <c r="E581" s="107">
        <v>114</v>
      </c>
    </row>
    <row r="582" spans="1:5">
      <c r="A582" s="362"/>
      <c r="B582" s="365"/>
      <c r="C582" s="368"/>
      <c r="D582" s="98">
        <v>48</v>
      </c>
      <c r="E582" s="108">
        <v>116</v>
      </c>
    </row>
    <row r="583" spans="1:5" ht="15">
      <c r="A583" s="362"/>
      <c r="B583" s="365"/>
      <c r="C583" s="368"/>
      <c r="D583" s="97">
        <v>49</v>
      </c>
      <c r="E583" s="107">
        <v>106</v>
      </c>
    </row>
    <row r="584" spans="1:5" ht="28">
      <c r="A584" s="362"/>
      <c r="B584" s="365"/>
      <c r="C584" s="368"/>
      <c r="D584" s="98" t="s">
        <v>11</v>
      </c>
      <c r="E584" s="108">
        <v>535</v>
      </c>
    </row>
    <row r="585" spans="1:5" ht="15">
      <c r="A585" s="362"/>
      <c r="B585" s="365"/>
      <c r="C585" s="368" t="s">
        <v>21</v>
      </c>
      <c r="D585" s="97">
        <v>50</v>
      </c>
      <c r="E585" s="107">
        <v>106</v>
      </c>
    </row>
    <row r="586" spans="1:5">
      <c r="A586" s="362"/>
      <c r="B586" s="365"/>
      <c r="C586" s="368"/>
      <c r="D586" s="98">
        <v>51</v>
      </c>
      <c r="E586" s="108">
        <v>82</v>
      </c>
    </row>
    <row r="587" spans="1:5" ht="15">
      <c r="A587" s="362"/>
      <c r="B587" s="365"/>
      <c r="C587" s="368"/>
      <c r="D587" s="97">
        <v>52</v>
      </c>
      <c r="E587" s="107">
        <v>102</v>
      </c>
    </row>
    <row r="588" spans="1:5">
      <c r="A588" s="362"/>
      <c r="B588" s="365"/>
      <c r="C588" s="368"/>
      <c r="D588" s="98">
        <v>53</v>
      </c>
      <c r="E588" s="108">
        <v>94</v>
      </c>
    </row>
    <row r="589" spans="1:5" ht="15">
      <c r="A589" s="362"/>
      <c r="B589" s="365"/>
      <c r="C589" s="368"/>
      <c r="D589" s="97">
        <v>54</v>
      </c>
      <c r="E589" s="107">
        <v>88</v>
      </c>
    </row>
    <row r="590" spans="1:5" ht="28">
      <c r="A590" s="362"/>
      <c r="B590" s="365"/>
      <c r="C590" s="368"/>
      <c r="D590" s="98" t="s">
        <v>11</v>
      </c>
      <c r="E590" s="108">
        <v>472</v>
      </c>
    </row>
    <row r="591" spans="1:5" ht="15">
      <c r="A591" s="362"/>
      <c r="B591" s="365"/>
      <c r="C591" s="368" t="s">
        <v>22</v>
      </c>
      <c r="D591" s="97">
        <v>55</v>
      </c>
      <c r="E591" s="107">
        <v>103</v>
      </c>
    </row>
    <row r="592" spans="1:5">
      <c r="A592" s="362"/>
      <c r="B592" s="365"/>
      <c r="C592" s="368"/>
      <c r="D592" s="98">
        <v>56</v>
      </c>
      <c r="E592" s="108">
        <v>86</v>
      </c>
    </row>
    <row r="593" spans="1:5" ht="15">
      <c r="A593" s="362"/>
      <c r="B593" s="365"/>
      <c r="C593" s="368"/>
      <c r="D593" s="97">
        <v>57</v>
      </c>
      <c r="E593" s="107">
        <v>83</v>
      </c>
    </row>
    <row r="594" spans="1:5">
      <c r="A594" s="362"/>
      <c r="B594" s="365"/>
      <c r="C594" s="368"/>
      <c r="D594" s="98">
        <v>58</v>
      </c>
      <c r="E594" s="108">
        <v>80</v>
      </c>
    </row>
    <row r="595" spans="1:5" ht="15">
      <c r="A595" s="362"/>
      <c r="B595" s="365"/>
      <c r="C595" s="368"/>
      <c r="D595" s="97">
        <v>59</v>
      </c>
      <c r="E595" s="107">
        <v>70</v>
      </c>
    </row>
    <row r="596" spans="1:5" ht="28">
      <c r="A596" s="362"/>
      <c r="B596" s="365"/>
      <c r="C596" s="368"/>
      <c r="D596" s="98" t="s">
        <v>11</v>
      </c>
      <c r="E596" s="108">
        <v>422</v>
      </c>
    </row>
    <row r="597" spans="1:5" ht="15">
      <c r="A597" s="362"/>
      <c r="B597" s="365"/>
      <c r="C597" s="368" t="s">
        <v>23</v>
      </c>
      <c r="D597" s="97">
        <v>60</v>
      </c>
      <c r="E597" s="107">
        <v>80</v>
      </c>
    </row>
    <row r="598" spans="1:5">
      <c r="A598" s="362"/>
      <c r="B598" s="365"/>
      <c r="C598" s="368"/>
      <c r="D598" s="98">
        <v>61</v>
      </c>
      <c r="E598" s="108">
        <v>62</v>
      </c>
    </row>
    <row r="599" spans="1:5" ht="15">
      <c r="A599" s="362"/>
      <c r="B599" s="365"/>
      <c r="C599" s="368"/>
      <c r="D599" s="97">
        <v>62</v>
      </c>
      <c r="E599" s="107">
        <v>68</v>
      </c>
    </row>
    <row r="600" spans="1:5">
      <c r="A600" s="362"/>
      <c r="B600" s="365"/>
      <c r="C600" s="368"/>
      <c r="D600" s="98">
        <v>63</v>
      </c>
      <c r="E600" s="108">
        <v>61</v>
      </c>
    </row>
    <row r="601" spans="1:5" ht="15">
      <c r="A601" s="362"/>
      <c r="B601" s="365"/>
      <c r="C601" s="368"/>
      <c r="D601" s="97">
        <v>64</v>
      </c>
      <c r="E601" s="107">
        <v>62</v>
      </c>
    </row>
    <row r="602" spans="1:5" ht="28">
      <c r="A602" s="362"/>
      <c r="B602" s="365"/>
      <c r="C602" s="368"/>
      <c r="D602" s="98" t="s">
        <v>11</v>
      </c>
      <c r="E602" s="108">
        <v>333</v>
      </c>
    </row>
    <row r="603" spans="1:5" ht="15">
      <c r="A603" s="362"/>
      <c r="B603" s="365"/>
      <c r="C603" s="368" t="s">
        <v>24</v>
      </c>
      <c r="D603" s="97">
        <v>65</v>
      </c>
      <c r="E603" s="107">
        <v>63</v>
      </c>
    </row>
    <row r="604" spans="1:5">
      <c r="A604" s="362"/>
      <c r="B604" s="365"/>
      <c r="C604" s="368"/>
      <c r="D604" s="98">
        <v>66</v>
      </c>
      <c r="E604" s="108">
        <v>47</v>
      </c>
    </row>
    <row r="605" spans="1:5" ht="15">
      <c r="A605" s="362"/>
      <c r="B605" s="365"/>
      <c r="C605" s="368"/>
      <c r="D605" s="97">
        <v>67</v>
      </c>
      <c r="E605" s="107">
        <v>46</v>
      </c>
    </row>
    <row r="606" spans="1:5">
      <c r="A606" s="362"/>
      <c r="B606" s="365"/>
      <c r="C606" s="368"/>
      <c r="D606" s="98">
        <v>68</v>
      </c>
      <c r="E606" s="108">
        <v>45</v>
      </c>
    </row>
    <row r="607" spans="1:5" ht="15">
      <c r="A607" s="362"/>
      <c r="B607" s="365"/>
      <c r="C607" s="368"/>
      <c r="D607" s="97">
        <v>69</v>
      </c>
      <c r="E607" s="107">
        <v>49</v>
      </c>
    </row>
    <row r="608" spans="1:5" ht="28">
      <c r="A608" s="362"/>
      <c r="B608" s="365"/>
      <c r="C608" s="368"/>
      <c r="D608" s="98" t="s">
        <v>11</v>
      </c>
      <c r="E608" s="108">
        <v>250</v>
      </c>
    </row>
    <row r="609" spans="1:5" ht="15">
      <c r="A609" s="362"/>
      <c r="B609" s="365"/>
      <c r="C609" s="368" t="s">
        <v>25</v>
      </c>
      <c r="D609" s="97">
        <v>70</v>
      </c>
      <c r="E609" s="107">
        <v>31</v>
      </c>
    </row>
    <row r="610" spans="1:5">
      <c r="A610" s="362"/>
      <c r="B610" s="365"/>
      <c r="C610" s="368"/>
      <c r="D610" s="98">
        <v>71</v>
      </c>
      <c r="E610" s="108">
        <v>38</v>
      </c>
    </row>
    <row r="611" spans="1:5" ht="15">
      <c r="A611" s="362"/>
      <c r="B611" s="365"/>
      <c r="C611" s="368"/>
      <c r="D611" s="97">
        <v>72</v>
      </c>
      <c r="E611" s="107">
        <v>34</v>
      </c>
    </row>
    <row r="612" spans="1:5">
      <c r="A612" s="362"/>
      <c r="B612" s="365"/>
      <c r="C612" s="368"/>
      <c r="D612" s="98">
        <v>73</v>
      </c>
      <c r="E612" s="108">
        <v>35</v>
      </c>
    </row>
    <row r="613" spans="1:5" ht="15">
      <c r="A613" s="362"/>
      <c r="B613" s="365"/>
      <c r="C613" s="368"/>
      <c r="D613" s="97">
        <v>74</v>
      </c>
      <c r="E613" s="107">
        <v>28</v>
      </c>
    </row>
    <row r="614" spans="1:5" ht="28">
      <c r="A614" s="362"/>
      <c r="B614" s="365"/>
      <c r="C614" s="368"/>
      <c r="D614" s="98" t="s">
        <v>11</v>
      </c>
      <c r="E614" s="108">
        <v>166</v>
      </c>
    </row>
    <row r="615" spans="1:5" ht="15">
      <c r="A615" s="362"/>
      <c r="B615" s="365"/>
      <c r="C615" s="368" t="s">
        <v>26</v>
      </c>
      <c r="D615" s="97">
        <v>75</v>
      </c>
      <c r="E615" s="107">
        <v>36</v>
      </c>
    </row>
    <row r="616" spans="1:5">
      <c r="A616" s="362"/>
      <c r="B616" s="365"/>
      <c r="C616" s="368"/>
      <c r="D616" s="98">
        <v>76</v>
      </c>
      <c r="E616" s="108">
        <v>34</v>
      </c>
    </row>
    <row r="617" spans="1:5" ht="15">
      <c r="A617" s="362"/>
      <c r="B617" s="365"/>
      <c r="C617" s="368"/>
      <c r="D617" s="97">
        <v>77</v>
      </c>
      <c r="E617" s="107">
        <v>26</v>
      </c>
    </row>
    <row r="618" spans="1:5">
      <c r="A618" s="362"/>
      <c r="B618" s="365"/>
      <c r="C618" s="368"/>
      <c r="D618" s="98">
        <v>78</v>
      </c>
      <c r="E618" s="108">
        <v>30</v>
      </c>
    </row>
    <row r="619" spans="1:5" ht="15">
      <c r="A619" s="362"/>
      <c r="B619" s="365"/>
      <c r="C619" s="368"/>
      <c r="D619" s="97">
        <v>79</v>
      </c>
      <c r="E619" s="107">
        <v>22</v>
      </c>
    </row>
    <row r="620" spans="1:5" ht="28">
      <c r="A620" s="362"/>
      <c r="B620" s="365"/>
      <c r="C620" s="368"/>
      <c r="D620" s="98" t="s">
        <v>11</v>
      </c>
      <c r="E620" s="108">
        <v>148</v>
      </c>
    </row>
    <row r="621" spans="1:5" ht="15">
      <c r="A621" s="362"/>
      <c r="B621" s="365"/>
      <c r="C621" s="368" t="s">
        <v>27</v>
      </c>
      <c r="D621" s="97">
        <v>80</v>
      </c>
      <c r="E621" s="107">
        <v>22</v>
      </c>
    </row>
    <row r="622" spans="1:5">
      <c r="A622" s="362"/>
      <c r="B622" s="365"/>
      <c r="C622" s="368"/>
      <c r="D622" s="98">
        <v>81</v>
      </c>
      <c r="E622" s="108">
        <v>15</v>
      </c>
    </row>
    <row r="623" spans="1:5" ht="15">
      <c r="A623" s="362"/>
      <c r="B623" s="365"/>
      <c r="C623" s="368"/>
      <c r="D623" s="97">
        <v>82</v>
      </c>
      <c r="E623" s="107">
        <v>14</v>
      </c>
    </row>
    <row r="624" spans="1:5">
      <c r="A624" s="362"/>
      <c r="B624" s="365"/>
      <c r="C624" s="368"/>
      <c r="D624" s="98">
        <v>83</v>
      </c>
      <c r="E624" s="108">
        <v>11</v>
      </c>
    </row>
    <row r="625" spans="1:5" ht="15">
      <c r="A625" s="362"/>
      <c r="B625" s="365"/>
      <c r="C625" s="368"/>
      <c r="D625" s="97">
        <v>84</v>
      </c>
      <c r="E625" s="107">
        <v>11</v>
      </c>
    </row>
    <row r="626" spans="1:5" ht="28">
      <c r="A626" s="362"/>
      <c r="B626" s="365"/>
      <c r="C626" s="368"/>
      <c r="D626" s="98" t="s">
        <v>11</v>
      </c>
      <c r="E626" s="108">
        <v>73</v>
      </c>
    </row>
    <row r="627" spans="1:5" ht="15">
      <c r="A627" s="362"/>
      <c r="B627" s="365"/>
      <c r="C627" s="368" t="s">
        <v>28</v>
      </c>
      <c r="D627" s="97">
        <v>85</v>
      </c>
      <c r="E627" s="107">
        <v>8</v>
      </c>
    </row>
    <row r="628" spans="1:5">
      <c r="A628" s="362"/>
      <c r="B628" s="365"/>
      <c r="C628" s="368"/>
      <c r="D628" s="98">
        <v>86</v>
      </c>
      <c r="E628" s="108">
        <v>14</v>
      </c>
    </row>
    <row r="629" spans="1:5" ht="15">
      <c r="A629" s="362"/>
      <c r="B629" s="365"/>
      <c r="C629" s="368"/>
      <c r="D629" s="97">
        <v>87</v>
      </c>
      <c r="E629" s="107">
        <v>12</v>
      </c>
    </row>
    <row r="630" spans="1:5">
      <c r="A630" s="362"/>
      <c r="B630" s="365"/>
      <c r="C630" s="368"/>
      <c r="D630" s="98">
        <v>88</v>
      </c>
      <c r="E630" s="108">
        <v>7</v>
      </c>
    </row>
    <row r="631" spans="1:5" ht="15">
      <c r="A631" s="362"/>
      <c r="B631" s="365"/>
      <c r="C631" s="368"/>
      <c r="D631" s="97">
        <v>89</v>
      </c>
      <c r="E631" s="107">
        <v>5</v>
      </c>
    </row>
    <row r="632" spans="1:5" ht="28">
      <c r="A632" s="362"/>
      <c r="B632" s="365"/>
      <c r="C632" s="368"/>
      <c r="D632" s="98" t="s">
        <v>11</v>
      </c>
      <c r="E632" s="108">
        <v>46</v>
      </c>
    </row>
    <row r="633" spans="1:5" ht="15">
      <c r="A633" s="362"/>
      <c r="B633" s="365"/>
      <c r="C633" s="368" t="s">
        <v>29</v>
      </c>
      <c r="D633" s="97">
        <v>90</v>
      </c>
      <c r="E633" s="107">
        <v>6</v>
      </c>
    </row>
    <row r="634" spans="1:5">
      <c r="A634" s="362"/>
      <c r="B634" s="365"/>
      <c r="C634" s="368"/>
      <c r="D634" s="98">
        <v>91</v>
      </c>
      <c r="E634" s="108">
        <v>9</v>
      </c>
    </row>
    <row r="635" spans="1:5" ht="15">
      <c r="A635" s="362"/>
      <c r="B635" s="365"/>
      <c r="C635" s="368"/>
      <c r="D635" s="97">
        <v>92</v>
      </c>
      <c r="E635" s="107">
        <v>9</v>
      </c>
    </row>
    <row r="636" spans="1:5">
      <c r="A636" s="362"/>
      <c r="B636" s="365"/>
      <c r="C636" s="368"/>
      <c r="D636" s="98">
        <v>93</v>
      </c>
      <c r="E636" s="108">
        <v>4</v>
      </c>
    </row>
    <row r="637" spans="1:5" ht="15">
      <c r="A637" s="362"/>
      <c r="B637" s="365"/>
      <c r="C637" s="368"/>
      <c r="D637" s="97">
        <v>94</v>
      </c>
      <c r="E637" s="107">
        <v>3</v>
      </c>
    </row>
    <row r="638" spans="1:5" ht="28">
      <c r="A638" s="362"/>
      <c r="B638" s="365"/>
      <c r="C638" s="368"/>
      <c r="D638" s="98" t="s">
        <v>11</v>
      </c>
      <c r="E638" s="108">
        <v>31</v>
      </c>
    </row>
    <row r="639" spans="1:5" ht="15">
      <c r="A639" s="362"/>
      <c r="B639" s="365"/>
      <c r="C639" s="368" t="s">
        <v>30</v>
      </c>
      <c r="D639" s="97">
        <v>95</v>
      </c>
      <c r="E639" s="107">
        <v>3</v>
      </c>
    </row>
    <row r="640" spans="1:5">
      <c r="A640" s="362"/>
      <c r="B640" s="365"/>
      <c r="C640" s="368"/>
      <c r="D640" s="98">
        <v>96</v>
      </c>
      <c r="E640" s="108">
        <v>1</v>
      </c>
    </row>
    <row r="641" spans="1:5" ht="15">
      <c r="A641" s="362"/>
      <c r="B641" s="365"/>
      <c r="C641" s="368"/>
      <c r="D641" s="97">
        <v>97</v>
      </c>
      <c r="E641" s="107">
        <v>1</v>
      </c>
    </row>
    <row r="642" spans="1:5">
      <c r="A642" s="362"/>
      <c r="B642" s="365"/>
      <c r="C642" s="368"/>
      <c r="D642" s="98">
        <v>98</v>
      </c>
      <c r="E642" s="108">
        <v>4</v>
      </c>
    </row>
    <row r="643" spans="1:5" ht="15">
      <c r="A643" s="362"/>
      <c r="B643" s="365"/>
      <c r="C643" s="368"/>
      <c r="D643" s="97">
        <v>99</v>
      </c>
      <c r="E643" s="107">
        <v>1</v>
      </c>
    </row>
    <row r="644" spans="1:5" ht="28">
      <c r="A644" s="362"/>
      <c r="B644" s="365"/>
      <c r="C644" s="368"/>
      <c r="D644" s="98" t="s">
        <v>11</v>
      </c>
      <c r="E644" s="108">
        <v>10</v>
      </c>
    </row>
    <row r="645" spans="1:5" ht="15">
      <c r="A645" s="362"/>
      <c r="B645" s="365" t="s">
        <v>105</v>
      </c>
      <c r="C645" s="368" t="s">
        <v>10</v>
      </c>
      <c r="D645" s="97">
        <v>0</v>
      </c>
      <c r="E645" s="107">
        <v>93</v>
      </c>
    </row>
    <row r="646" spans="1:5">
      <c r="A646" s="362"/>
      <c r="B646" s="365"/>
      <c r="C646" s="368"/>
      <c r="D646" s="98">
        <v>1</v>
      </c>
      <c r="E646" s="108">
        <v>95</v>
      </c>
    </row>
    <row r="647" spans="1:5" ht="15">
      <c r="A647" s="362"/>
      <c r="B647" s="365"/>
      <c r="C647" s="368"/>
      <c r="D647" s="97">
        <v>2</v>
      </c>
      <c r="E647" s="107">
        <v>134</v>
      </c>
    </row>
    <row r="648" spans="1:5">
      <c r="A648" s="362"/>
      <c r="B648" s="365"/>
      <c r="C648" s="368"/>
      <c r="D648" s="98">
        <v>3</v>
      </c>
      <c r="E648" s="108">
        <v>101</v>
      </c>
    </row>
    <row r="649" spans="1:5" ht="15">
      <c r="A649" s="362"/>
      <c r="B649" s="365"/>
      <c r="C649" s="368"/>
      <c r="D649" s="97">
        <v>4</v>
      </c>
      <c r="E649" s="107">
        <v>88</v>
      </c>
    </row>
    <row r="650" spans="1:5" ht="28">
      <c r="A650" s="362"/>
      <c r="B650" s="365"/>
      <c r="C650" s="368"/>
      <c r="D650" s="98" t="s">
        <v>11</v>
      </c>
      <c r="E650" s="108">
        <v>511</v>
      </c>
    </row>
    <row r="651" spans="1:5" ht="15">
      <c r="A651" s="362"/>
      <c r="B651" s="365"/>
      <c r="C651" s="368" t="s">
        <v>12</v>
      </c>
      <c r="D651" s="97">
        <v>5</v>
      </c>
      <c r="E651" s="107">
        <v>109</v>
      </c>
    </row>
    <row r="652" spans="1:5">
      <c r="A652" s="362"/>
      <c r="B652" s="365"/>
      <c r="C652" s="368"/>
      <c r="D652" s="98">
        <v>6</v>
      </c>
      <c r="E652" s="108">
        <v>130</v>
      </c>
    </row>
    <row r="653" spans="1:5" ht="15">
      <c r="A653" s="362"/>
      <c r="B653" s="365"/>
      <c r="C653" s="368"/>
      <c r="D653" s="97">
        <v>7</v>
      </c>
      <c r="E653" s="107">
        <v>126</v>
      </c>
    </row>
    <row r="654" spans="1:5">
      <c r="A654" s="362"/>
      <c r="B654" s="365"/>
      <c r="C654" s="368"/>
      <c r="D654" s="98">
        <v>8</v>
      </c>
      <c r="E654" s="108">
        <v>125</v>
      </c>
    </row>
    <row r="655" spans="1:5" ht="15">
      <c r="A655" s="362"/>
      <c r="B655" s="365"/>
      <c r="C655" s="368"/>
      <c r="D655" s="97">
        <v>9</v>
      </c>
      <c r="E655" s="107">
        <v>110</v>
      </c>
    </row>
    <row r="656" spans="1:5" ht="28">
      <c r="A656" s="362"/>
      <c r="B656" s="365"/>
      <c r="C656" s="368"/>
      <c r="D656" s="98" t="s">
        <v>11</v>
      </c>
      <c r="E656" s="108">
        <v>600</v>
      </c>
    </row>
    <row r="657" spans="1:5" ht="15">
      <c r="A657" s="362"/>
      <c r="B657" s="365"/>
      <c r="C657" s="368" t="s">
        <v>13</v>
      </c>
      <c r="D657" s="97">
        <v>10</v>
      </c>
      <c r="E657" s="107">
        <v>113</v>
      </c>
    </row>
    <row r="658" spans="1:5">
      <c r="A658" s="362"/>
      <c r="B658" s="365"/>
      <c r="C658" s="368"/>
      <c r="D658" s="98">
        <v>11</v>
      </c>
      <c r="E658" s="108">
        <v>142</v>
      </c>
    </row>
    <row r="659" spans="1:5" ht="15">
      <c r="A659" s="362"/>
      <c r="B659" s="365"/>
      <c r="C659" s="368"/>
      <c r="D659" s="97">
        <v>12</v>
      </c>
      <c r="E659" s="107">
        <v>115</v>
      </c>
    </row>
    <row r="660" spans="1:5">
      <c r="A660" s="362"/>
      <c r="B660" s="365"/>
      <c r="C660" s="368"/>
      <c r="D660" s="98">
        <v>13</v>
      </c>
      <c r="E660" s="108">
        <v>118</v>
      </c>
    </row>
    <row r="661" spans="1:5" ht="15">
      <c r="A661" s="362"/>
      <c r="B661" s="365"/>
      <c r="C661" s="368"/>
      <c r="D661" s="97">
        <v>14</v>
      </c>
      <c r="E661" s="107">
        <v>135</v>
      </c>
    </row>
    <row r="662" spans="1:5" ht="28">
      <c r="A662" s="362"/>
      <c r="B662" s="365"/>
      <c r="C662" s="368"/>
      <c r="D662" s="98" t="s">
        <v>11</v>
      </c>
      <c r="E662" s="108">
        <v>623</v>
      </c>
    </row>
    <row r="663" spans="1:5" ht="15">
      <c r="A663" s="362"/>
      <c r="B663" s="365"/>
      <c r="C663" s="368" t="s">
        <v>14</v>
      </c>
      <c r="D663" s="97">
        <v>15</v>
      </c>
      <c r="E663" s="107">
        <v>121</v>
      </c>
    </row>
    <row r="664" spans="1:5">
      <c r="A664" s="362"/>
      <c r="B664" s="365"/>
      <c r="C664" s="368"/>
      <c r="D664" s="98">
        <v>16</v>
      </c>
      <c r="E664" s="108">
        <v>119</v>
      </c>
    </row>
    <row r="665" spans="1:5" ht="15">
      <c r="A665" s="362"/>
      <c r="B665" s="365"/>
      <c r="C665" s="368"/>
      <c r="D665" s="97">
        <v>17</v>
      </c>
      <c r="E665" s="107">
        <v>140</v>
      </c>
    </row>
    <row r="666" spans="1:5">
      <c r="A666" s="362"/>
      <c r="B666" s="365"/>
      <c r="C666" s="368"/>
      <c r="D666" s="98">
        <v>18</v>
      </c>
      <c r="E666" s="108">
        <v>119</v>
      </c>
    </row>
    <row r="667" spans="1:5" ht="15">
      <c r="A667" s="362"/>
      <c r="B667" s="365"/>
      <c r="C667" s="368"/>
      <c r="D667" s="97">
        <v>19</v>
      </c>
      <c r="E667" s="107">
        <v>110</v>
      </c>
    </row>
    <row r="668" spans="1:5" ht="28">
      <c r="A668" s="362"/>
      <c r="B668" s="365"/>
      <c r="C668" s="368"/>
      <c r="D668" s="98" t="s">
        <v>11</v>
      </c>
      <c r="E668" s="108">
        <v>609</v>
      </c>
    </row>
    <row r="669" spans="1:5" ht="15">
      <c r="A669" s="362"/>
      <c r="B669" s="365"/>
      <c r="C669" s="368" t="s">
        <v>15</v>
      </c>
      <c r="D669" s="97">
        <v>20</v>
      </c>
      <c r="E669" s="107">
        <v>109</v>
      </c>
    </row>
    <row r="670" spans="1:5">
      <c r="A670" s="362"/>
      <c r="B670" s="365"/>
      <c r="C670" s="368"/>
      <c r="D670" s="98">
        <v>21</v>
      </c>
      <c r="E670" s="108">
        <v>120</v>
      </c>
    </row>
    <row r="671" spans="1:5" ht="15">
      <c r="A671" s="362"/>
      <c r="B671" s="365"/>
      <c r="C671" s="368"/>
      <c r="D671" s="97">
        <v>22</v>
      </c>
      <c r="E671" s="107">
        <v>115</v>
      </c>
    </row>
    <row r="672" spans="1:5">
      <c r="A672" s="362"/>
      <c r="B672" s="365"/>
      <c r="C672" s="368"/>
      <c r="D672" s="98">
        <v>23</v>
      </c>
      <c r="E672" s="108">
        <v>121</v>
      </c>
    </row>
    <row r="673" spans="1:5" ht="15">
      <c r="A673" s="362"/>
      <c r="B673" s="365"/>
      <c r="C673" s="368"/>
      <c r="D673" s="97">
        <v>24</v>
      </c>
      <c r="E673" s="107">
        <v>121</v>
      </c>
    </row>
    <row r="674" spans="1:5" ht="28">
      <c r="A674" s="362"/>
      <c r="B674" s="365"/>
      <c r="C674" s="368"/>
      <c r="D674" s="98" t="s">
        <v>11</v>
      </c>
      <c r="E674" s="108">
        <v>586</v>
      </c>
    </row>
    <row r="675" spans="1:5" ht="15">
      <c r="A675" s="362"/>
      <c r="B675" s="365"/>
      <c r="C675" s="368" t="s">
        <v>16</v>
      </c>
      <c r="D675" s="97">
        <v>25</v>
      </c>
      <c r="E675" s="107">
        <v>103</v>
      </c>
    </row>
    <row r="676" spans="1:5">
      <c r="A676" s="362"/>
      <c r="B676" s="365"/>
      <c r="C676" s="368"/>
      <c r="D676" s="98">
        <v>26</v>
      </c>
      <c r="E676" s="108">
        <v>120</v>
      </c>
    </row>
    <row r="677" spans="1:5" ht="15">
      <c r="A677" s="362"/>
      <c r="B677" s="365"/>
      <c r="C677" s="368"/>
      <c r="D677" s="97">
        <v>27</v>
      </c>
      <c r="E677" s="107">
        <v>89</v>
      </c>
    </row>
    <row r="678" spans="1:5">
      <c r="A678" s="362"/>
      <c r="B678" s="365"/>
      <c r="C678" s="368"/>
      <c r="D678" s="98">
        <v>28</v>
      </c>
      <c r="E678" s="108">
        <v>123</v>
      </c>
    </row>
    <row r="679" spans="1:5" ht="15">
      <c r="A679" s="362"/>
      <c r="B679" s="365"/>
      <c r="C679" s="368"/>
      <c r="D679" s="97">
        <v>29</v>
      </c>
      <c r="E679" s="107">
        <v>109</v>
      </c>
    </row>
    <row r="680" spans="1:5" ht="28">
      <c r="A680" s="362"/>
      <c r="B680" s="365"/>
      <c r="C680" s="368"/>
      <c r="D680" s="98" t="s">
        <v>11</v>
      </c>
      <c r="E680" s="108">
        <v>544</v>
      </c>
    </row>
    <row r="681" spans="1:5" ht="15">
      <c r="A681" s="362"/>
      <c r="B681" s="365"/>
      <c r="C681" s="368" t="s">
        <v>17</v>
      </c>
      <c r="D681" s="97">
        <v>30</v>
      </c>
      <c r="E681" s="107">
        <v>108</v>
      </c>
    </row>
    <row r="682" spans="1:5">
      <c r="A682" s="362"/>
      <c r="B682" s="365"/>
      <c r="C682" s="368"/>
      <c r="D682" s="98">
        <v>31</v>
      </c>
      <c r="E682" s="108">
        <v>99</v>
      </c>
    </row>
    <row r="683" spans="1:5" ht="15">
      <c r="A683" s="362"/>
      <c r="B683" s="365"/>
      <c r="C683" s="368"/>
      <c r="D683" s="97">
        <v>32</v>
      </c>
      <c r="E683" s="107">
        <v>120</v>
      </c>
    </row>
    <row r="684" spans="1:5">
      <c r="A684" s="362"/>
      <c r="B684" s="365"/>
      <c r="C684" s="368"/>
      <c r="D684" s="98">
        <v>33</v>
      </c>
      <c r="E684" s="108">
        <v>100</v>
      </c>
    </row>
    <row r="685" spans="1:5" ht="15">
      <c r="A685" s="362"/>
      <c r="B685" s="365"/>
      <c r="C685" s="368"/>
      <c r="D685" s="97">
        <v>34</v>
      </c>
      <c r="E685" s="107">
        <v>100</v>
      </c>
    </row>
    <row r="686" spans="1:5" ht="28">
      <c r="A686" s="362"/>
      <c r="B686" s="365"/>
      <c r="C686" s="368"/>
      <c r="D686" s="98" t="s">
        <v>11</v>
      </c>
      <c r="E686" s="108">
        <v>527</v>
      </c>
    </row>
    <row r="687" spans="1:5" ht="15">
      <c r="A687" s="362"/>
      <c r="B687" s="365"/>
      <c r="C687" s="368" t="s">
        <v>18</v>
      </c>
      <c r="D687" s="97">
        <v>35</v>
      </c>
      <c r="E687" s="107">
        <v>98</v>
      </c>
    </row>
    <row r="688" spans="1:5">
      <c r="A688" s="362"/>
      <c r="B688" s="365"/>
      <c r="C688" s="368"/>
      <c r="D688" s="98">
        <v>36</v>
      </c>
      <c r="E688" s="108">
        <v>112</v>
      </c>
    </row>
    <row r="689" spans="1:5" ht="15">
      <c r="A689" s="362"/>
      <c r="B689" s="365"/>
      <c r="C689" s="368"/>
      <c r="D689" s="97">
        <v>37</v>
      </c>
      <c r="E689" s="107">
        <v>110</v>
      </c>
    </row>
    <row r="690" spans="1:5">
      <c r="A690" s="362"/>
      <c r="B690" s="365"/>
      <c r="C690" s="368"/>
      <c r="D690" s="98">
        <v>38</v>
      </c>
      <c r="E690" s="108">
        <v>111</v>
      </c>
    </row>
    <row r="691" spans="1:5" ht="15">
      <c r="A691" s="362"/>
      <c r="B691" s="365"/>
      <c r="C691" s="368"/>
      <c r="D691" s="97">
        <v>39</v>
      </c>
      <c r="E691" s="107">
        <v>82</v>
      </c>
    </row>
    <row r="692" spans="1:5" ht="28">
      <c r="A692" s="362"/>
      <c r="B692" s="365"/>
      <c r="C692" s="368"/>
      <c r="D692" s="98" t="s">
        <v>11</v>
      </c>
      <c r="E692" s="108">
        <v>513</v>
      </c>
    </row>
    <row r="693" spans="1:5" ht="15">
      <c r="A693" s="362"/>
      <c r="B693" s="365"/>
      <c r="C693" s="368" t="s">
        <v>19</v>
      </c>
      <c r="D693" s="97">
        <v>40</v>
      </c>
      <c r="E693" s="107">
        <v>87</v>
      </c>
    </row>
    <row r="694" spans="1:5">
      <c r="A694" s="362"/>
      <c r="B694" s="365"/>
      <c r="C694" s="368"/>
      <c r="D694" s="98">
        <v>41</v>
      </c>
      <c r="E694" s="108">
        <v>86</v>
      </c>
    </row>
    <row r="695" spans="1:5" ht="15">
      <c r="A695" s="362"/>
      <c r="B695" s="365"/>
      <c r="C695" s="368"/>
      <c r="D695" s="97">
        <v>42</v>
      </c>
      <c r="E695" s="107">
        <v>83</v>
      </c>
    </row>
    <row r="696" spans="1:5">
      <c r="A696" s="362"/>
      <c r="B696" s="365"/>
      <c r="C696" s="368"/>
      <c r="D696" s="98">
        <v>43</v>
      </c>
      <c r="E696" s="108">
        <v>77</v>
      </c>
    </row>
    <row r="697" spans="1:5" ht="15">
      <c r="A697" s="362"/>
      <c r="B697" s="365"/>
      <c r="C697" s="368"/>
      <c r="D697" s="97">
        <v>44</v>
      </c>
      <c r="E697" s="107">
        <v>62</v>
      </c>
    </row>
    <row r="698" spans="1:5" ht="28">
      <c r="A698" s="362"/>
      <c r="B698" s="365"/>
      <c r="C698" s="368"/>
      <c r="D698" s="98" t="s">
        <v>11</v>
      </c>
      <c r="E698" s="108">
        <v>395</v>
      </c>
    </row>
    <row r="699" spans="1:5" ht="15">
      <c r="A699" s="362"/>
      <c r="B699" s="365"/>
      <c r="C699" s="368" t="s">
        <v>20</v>
      </c>
      <c r="D699" s="97">
        <v>45</v>
      </c>
      <c r="E699" s="107">
        <v>74</v>
      </c>
    </row>
    <row r="700" spans="1:5">
      <c r="A700" s="362"/>
      <c r="B700" s="365"/>
      <c r="C700" s="368"/>
      <c r="D700" s="98">
        <v>46</v>
      </c>
      <c r="E700" s="108">
        <v>84</v>
      </c>
    </row>
    <row r="701" spans="1:5" ht="15">
      <c r="A701" s="362"/>
      <c r="B701" s="365"/>
      <c r="C701" s="368"/>
      <c r="D701" s="97">
        <v>47</v>
      </c>
      <c r="E701" s="107">
        <v>72</v>
      </c>
    </row>
    <row r="702" spans="1:5">
      <c r="A702" s="362"/>
      <c r="B702" s="365"/>
      <c r="C702" s="368"/>
      <c r="D702" s="98">
        <v>48</v>
      </c>
      <c r="E702" s="108">
        <v>76</v>
      </c>
    </row>
    <row r="703" spans="1:5" ht="15">
      <c r="A703" s="362"/>
      <c r="B703" s="365"/>
      <c r="C703" s="368"/>
      <c r="D703" s="97">
        <v>49</v>
      </c>
      <c r="E703" s="107">
        <v>85</v>
      </c>
    </row>
    <row r="704" spans="1:5" ht="28">
      <c r="A704" s="362"/>
      <c r="B704" s="365"/>
      <c r="C704" s="368"/>
      <c r="D704" s="98" t="s">
        <v>11</v>
      </c>
      <c r="E704" s="108">
        <v>391</v>
      </c>
    </row>
    <row r="705" spans="1:5" ht="15">
      <c r="A705" s="362"/>
      <c r="B705" s="365"/>
      <c r="C705" s="368" t="s">
        <v>21</v>
      </c>
      <c r="D705" s="97">
        <v>50</v>
      </c>
      <c r="E705" s="107">
        <v>78</v>
      </c>
    </row>
    <row r="706" spans="1:5">
      <c r="A706" s="362"/>
      <c r="B706" s="365"/>
      <c r="C706" s="368"/>
      <c r="D706" s="98">
        <v>51</v>
      </c>
      <c r="E706" s="108">
        <v>59</v>
      </c>
    </row>
    <row r="707" spans="1:5" ht="15">
      <c r="A707" s="362"/>
      <c r="B707" s="365"/>
      <c r="C707" s="368"/>
      <c r="D707" s="97">
        <v>52</v>
      </c>
      <c r="E707" s="107">
        <v>77</v>
      </c>
    </row>
    <row r="708" spans="1:5">
      <c r="A708" s="362"/>
      <c r="B708" s="365"/>
      <c r="C708" s="368"/>
      <c r="D708" s="98">
        <v>53</v>
      </c>
      <c r="E708" s="108">
        <v>71</v>
      </c>
    </row>
    <row r="709" spans="1:5" ht="15">
      <c r="A709" s="362"/>
      <c r="B709" s="365"/>
      <c r="C709" s="368"/>
      <c r="D709" s="97">
        <v>54</v>
      </c>
      <c r="E709" s="107">
        <v>91</v>
      </c>
    </row>
    <row r="710" spans="1:5" ht="28">
      <c r="A710" s="362"/>
      <c r="B710" s="365"/>
      <c r="C710" s="368"/>
      <c r="D710" s="98" t="s">
        <v>11</v>
      </c>
      <c r="E710" s="108">
        <v>376</v>
      </c>
    </row>
    <row r="711" spans="1:5" ht="15">
      <c r="A711" s="362"/>
      <c r="B711" s="365"/>
      <c r="C711" s="368" t="s">
        <v>22</v>
      </c>
      <c r="D711" s="97">
        <v>55</v>
      </c>
      <c r="E711" s="107">
        <v>78</v>
      </c>
    </row>
    <row r="712" spans="1:5">
      <c r="A712" s="362"/>
      <c r="B712" s="365"/>
      <c r="C712" s="368"/>
      <c r="D712" s="98">
        <v>56</v>
      </c>
      <c r="E712" s="108">
        <v>76</v>
      </c>
    </row>
    <row r="713" spans="1:5" ht="15">
      <c r="A713" s="362"/>
      <c r="B713" s="365"/>
      <c r="C713" s="368"/>
      <c r="D713" s="97">
        <v>57</v>
      </c>
      <c r="E713" s="107">
        <v>67</v>
      </c>
    </row>
    <row r="714" spans="1:5">
      <c r="A714" s="362"/>
      <c r="B714" s="365"/>
      <c r="C714" s="368"/>
      <c r="D714" s="98">
        <v>58</v>
      </c>
      <c r="E714" s="108">
        <v>76</v>
      </c>
    </row>
    <row r="715" spans="1:5" ht="15">
      <c r="A715" s="362"/>
      <c r="B715" s="365"/>
      <c r="C715" s="368"/>
      <c r="D715" s="97">
        <v>59</v>
      </c>
      <c r="E715" s="107">
        <v>60</v>
      </c>
    </row>
    <row r="716" spans="1:5" ht="28">
      <c r="A716" s="362"/>
      <c r="B716" s="365"/>
      <c r="C716" s="368"/>
      <c r="D716" s="98" t="s">
        <v>11</v>
      </c>
      <c r="E716" s="108">
        <v>357</v>
      </c>
    </row>
    <row r="717" spans="1:5" ht="15">
      <c r="A717" s="362"/>
      <c r="B717" s="365"/>
      <c r="C717" s="368" t="s">
        <v>23</v>
      </c>
      <c r="D717" s="97">
        <v>60</v>
      </c>
      <c r="E717" s="107">
        <v>65</v>
      </c>
    </row>
    <row r="718" spans="1:5">
      <c r="A718" s="362"/>
      <c r="B718" s="365"/>
      <c r="C718" s="368"/>
      <c r="D718" s="98">
        <v>61</v>
      </c>
      <c r="E718" s="108">
        <v>70</v>
      </c>
    </row>
    <row r="719" spans="1:5" ht="15">
      <c r="A719" s="362"/>
      <c r="B719" s="365"/>
      <c r="C719" s="368"/>
      <c r="D719" s="97">
        <v>62</v>
      </c>
      <c r="E719" s="107">
        <v>50</v>
      </c>
    </row>
    <row r="720" spans="1:5">
      <c r="A720" s="362"/>
      <c r="B720" s="365"/>
      <c r="C720" s="368"/>
      <c r="D720" s="98">
        <v>63</v>
      </c>
      <c r="E720" s="108">
        <v>46</v>
      </c>
    </row>
    <row r="721" spans="1:5" ht="15">
      <c r="A721" s="362"/>
      <c r="B721" s="365"/>
      <c r="C721" s="368"/>
      <c r="D721" s="97">
        <v>64</v>
      </c>
      <c r="E721" s="107">
        <v>55</v>
      </c>
    </row>
    <row r="722" spans="1:5" ht="28">
      <c r="A722" s="362"/>
      <c r="B722" s="365"/>
      <c r="C722" s="368"/>
      <c r="D722" s="98" t="s">
        <v>11</v>
      </c>
      <c r="E722" s="108">
        <v>286</v>
      </c>
    </row>
    <row r="723" spans="1:5" ht="15">
      <c r="A723" s="362"/>
      <c r="B723" s="365"/>
      <c r="C723" s="368" t="s">
        <v>24</v>
      </c>
      <c r="D723" s="97">
        <v>65</v>
      </c>
      <c r="E723" s="107">
        <v>49</v>
      </c>
    </row>
    <row r="724" spans="1:5">
      <c r="A724" s="362"/>
      <c r="B724" s="365"/>
      <c r="C724" s="368"/>
      <c r="D724" s="98">
        <v>66</v>
      </c>
      <c r="E724" s="108">
        <v>47</v>
      </c>
    </row>
    <row r="725" spans="1:5" ht="15">
      <c r="A725" s="362"/>
      <c r="B725" s="365"/>
      <c r="C725" s="368"/>
      <c r="D725" s="97">
        <v>67</v>
      </c>
      <c r="E725" s="107">
        <v>56</v>
      </c>
    </row>
    <row r="726" spans="1:5">
      <c r="A726" s="362"/>
      <c r="B726" s="365"/>
      <c r="C726" s="368"/>
      <c r="D726" s="98">
        <v>68</v>
      </c>
      <c r="E726" s="108">
        <v>48</v>
      </c>
    </row>
    <row r="727" spans="1:5" ht="15">
      <c r="A727" s="362"/>
      <c r="B727" s="365"/>
      <c r="C727" s="368"/>
      <c r="D727" s="97">
        <v>69</v>
      </c>
      <c r="E727" s="107">
        <v>32</v>
      </c>
    </row>
    <row r="728" spans="1:5" ht="28">
      <c r="A728" s="362"/>
      <c r="B728" s="365"/>
      <c r="C728" s="368"/>
      <c r="D728" s="98" t="s">
        <v>11</v>
      </c>
      <c r="E728" s="108">
        <v>232</v>
      </c>
    </row>
    <row r="729" spans="1:5" ht="15">
      <c r="A729" s="362"/>
      <c r="B729" s="365"/>
      <c r="C729" s="368" t="s">
        <v>25</v>
      </c>
      <c r="D729" s="97">
        <v>70</v>
      </c>
      <c r="E729" s="107">
        <v>33</v>
      </c>
    </row>
    <row r="730" spans="1:5">
      <c r="A730" s="362"/>
      <c r="B730" s="365"/>
      <c r="C730" s="368"/>
      <c r="D730" s="98">
        <v>71</v>
      </c>
      <c r="E730" s="108">
        <v>28</v>
      </c>
    </row>
    <row r="731" spans="1:5" ht="15">
      <c r="A731" s="362"/>
      <c r="B731" s="365"/>
      <c r="C731" s="368"/>
      <c r="D731" s="97">
        <v>72</v>
      </c>
      <c r="E731" s="107">
        <v>21</v>
      </c>
    </row>
    <row r="732" spans="1:5">
      <c r="A732" s="362"/>
      <c r="B732" s="365"/>
      <c r="C732" s="368"/>
      <c r="D732" s="98">
        <v>73</v>
      </c>
      <c r="E732" s="108">
        <v>30</v>
      </c>
    </row>
    <row r="733" spans="1:5" ht="15">
      <c r="A733" s="362"/>
      <c r="B733" s="365"/>
      <c r="C733" s="368"/>
      <c r="D733" s="97">
        <v>74</v>
      </c>
      <c r="E733" s="107">
        <v>26</v>
      </c>
    </row>
    <row r="734" spans="1:5" ht="28">
      <c r="A734" s="362"/>
      <c r="B734" s="365"/>
      <c r="C734" s="368"/>
      <c r="D734" s="98" t="s">
        <v>11</v>
      </c>
      <c r="E734" s="108">
        <v>138</v>
      </c>
    </row>
    <row r="735" spans="1:5" ht="15">
      <c r="A735" s="362"/>
      <c r="B735" s="365"/>
      <c r="C735" s="368" t="s">
        <v>26</v>
      </c>
      <c r="D735" s="97">
        <v>75</v>
      </c>
      <c r="E735" s="107">
        <v>22</v>
      </c>
    </row>
    <row r="736" spans="1:5">
      <c r="A736" s="362"/>
      <c r="B736" s="365"/>
      <c r="C736" s="368"/>
      <c r="D736" s="98">
        <v>76</v>
      </c>
      <c r="E736" s="108">
        <v>20</v>
      </c>
    </row>
    <row r="737" spans="1:5" ht="15">
      <c r="A737" s="362"/>
      <c r="B737" s="365"/>
      <c r="C737" s="368"/>
      <c r="D737" s="97">
        <v>77</v>
      </c>
      <c r="E737" s="107">
        <v>20</v>
      </c>
    </row>
    <row r="738" spans="1:5">
      <c r="A738" s="362"/>
      <c r="B738" s="365"/>
      <c r="C738" s="368"/>
      <c r="D738" s="98">
        <v>78</v>
      </c>
      <c r="E738" s="108">
        <v>30</v>
      </c>
    </row>
    <row r="739" spans="1:5" ht="15">
      <c r="A739" s="362"/>
      <c r="B739" s="365"/>
      <c r="C739" s="368"/>
      <c r="D739" s="97">
        <v>79</v>
      </c>
      <c r="E739" s="107">
        <v>22</v>
      </c>
    </row>
    <row r="740" spans="1:5" ht="28">
      <c r="A740" s="362"/>
      <c r="B740" s="365"/>
      <c r="C740" s="368"/>
      <c r="D740" s="98" t="s">
        <v>11</v>
      </c>
      <c r="E740" s="108">
        <v>114</v>
      </c>
    </row>
    <row r="741" spans="1:5" ht="15">
      <c r="A741" s="362"/>
      <c r="B741" s="365"/>
      <c r="C741" s="368" t="s">
        <v>27</v>
      </c>
      <c r="D741" s="97">
        <v>80</v>
      </c>
      <c r="E741" s="107">
        <v>15</v>
      </c>
    </row>
    <row r="742" spans="1:5">
      <c r="A742" s="362"/>
      <c r="B742" s="365"/>
      <c r="C742" s="368"/>
      <c r="D742" s="98">
        <v>81</v>
      </c>
      <c r="E742" s="108">
        <v>7</v>
      </c>
    </row>
    <row r="743" spans="1:5" ht="15">
      <c r="A743" s="362"/>
      <c r="B743" s="365"/>
      <c r="C743" s="368"/>
      <c r="D743" s="97">
        <v>82</v>
      </c>
      <c r="E743" s="107">
        <v>23</v>
      </c>
    </row>
    <row r="744" spans="1:5">
      <c r="A744" s="362"/>
      <c r="B744" s="365"/>
      <c r="C744" s="368"/>
      <c r="D744" s="98">
        <v>83</v>
      </c>
      <c r="E744" s="108">
        <v>17</v>
      </c>
    </row>
    <row r="745" spans="1:5" ht="15">
      <c r="A745" s="362"/>
      <c r="B745" s="365"/>
      <c r="C745" s="368"/>
      <c r="D745" s="97">
        <v>84</v>
      </c>
      <c r="E745" s="107">
        <v>17</v>
      </c>
    </row>
    <row r="746" spans="1:5" ht="28">
      <c r="A746" s="362"/>
      <c r="B746" s="365"/>
      <c r="C746" s="368"/>
      <c r="D746" s="98" t="s">
        <v>11</v>
      </c>
      <c r="E746" s="108">
        <v>79</v>
      </c>
    </row>
    <row r="747" spans="1:5" ht="15">
      <c r="A747" s="362"/>
      <c r="B747" s="365"/>
      <c r="C747" s="368" t="s">
        <v>28</v>
      </c>
      <c r="D747" s="97">
        <v>85</v>
      </c>
      <c r="E747" s="107">
        <v>5</v>
      </c>
    </row>
    <row r="748" spans="1:5">
      <c r="A748" s="362"/>
      <c r="B748" s="365"/>
      <c r="C748" s="368"/>
      <c r="D748" s="98">
        <v>86</v>
      </c>
      <c r="E748" s="108">
        <v>19</v>
      </c>
    </row>
    <row r="749" spans="1:5" ht="15">
      <c r="A749" s="362"/>
      <c r="B749" s="365"/>
      <c r="C749" s="368"/>
      <c r="D749" s="97">
        <v>87</v>
      </c>
      <c r="E749" s="107">
        <v>7</v>
      </c>
    </row>
    <row r="750" spans="1:5">
      <c r="A750" s="362"/>
      <c r="B750" s="365"/>
      <c r="C750" s="368"/>
      <c r="D750" s="98">
        <v>88</v>
      </c>
      <c r="E750" s="108">
        <v>4</v>
      </c>
    </row>
    <row r="751" spans="1:5" ht="15">
      <c r="A751" s="362"/>
      <c r="B751" s="365"/>
      <c r="C751" s="368"/>
      <c r="D751" s="97">
        <v>89</v>
      </c>
      <c r="E751" s="107">
        <v>8</v>
      </c>
    </row>
    <row r="752" spans="1:5" ht="28">
      <c r="A752" s="362"/>
      <c r="B752" s="365"/>
      <c r="C752" s="368"/>
      <c r="D752" s="98" t="s">
        <v>11</v>
      </c>
      <c r="E752" s="108">
        <v>43</v>
      </c>
    </row>
    <row r="753" spans="1:5" ht="15">
      <c r="A753" s="362"/>
      <c r="B753" s="365"/>
      <c r="C753" s="368" t="s">
        <v>29</v>
      </c>
      <c r="D753" s="97">
        <v>90</v>
      </c>
      <c r="E753" s="107">
        <v>12</v>
      </c>
    </row>
    <row r="754" spans="1:5">
      <c r="A754" s="362"/>
      <c r="B754" s="365"/>
      <c r="C754" s="368"/>
      <c r="D754" s="98">
        <v>91</v>
      </c>
      <c r="E754" s="108">
        <v>7</v>
      </c>
    </row>
    <row r="755" spans="1:5" ht="15">
      <c r="A755" s="362"/>
      <c r="B755" s="365"/>
      <c r="C755" s="368"/>
      <c r="D755" s="97">
        <v>92</v>
      </c>
      <c r="E755" s="107">
        <v>5</v>
      </c>
    </row>
    <row r="756" spans="1:5">
      <c r="A756" s="362"/>
      <c r="B756" s="365"/>
      <c r="C756" s="368"/>
      <c r="D756" s="98">
        <v>93</v>
      </c>
      <c r="E756" s="108">
        <v>2</v>
      </c>
    </row>
    <row r="757" spans="1:5" ht="15">
      <c r="A757" s="362"/>
      <c r="B757" s="365"/>
      <c r="C757" s="368"/>
      <c r="D757" s="97">
        <v>94</v>
      </c>
      <c r="E757" s="107">
        <v>2</v>
      </c>
    </row>
    <row r="758" spans="1:5" ht="28">
      <c r="A758" s="362"/>
      <c r="B758" s="365"/>
      <c r="C758" s="368"/>
      <c r="D758" s="98" t="s">
        <v>11</v>
      </c>
      <c r="E758" s="108">
        <v>28</v>
      </c>
    </row>
    <row r="759" spans="1:5" ht="15">
      <c r="A759" s="362"/>
      <c r="B759" s="365"/>
      <c r="C759" s="368" t="s">
        <v>30</v>
      </c>
      <c r="D759" s="97">
        <v>95</v>
      </c>
      <c r="E759" s="107">
        <v>4</v>
      </c>
    </row>
    <row r="760" spans="1:5">
      <c r="A760" s="362"/>
      <c r="B760" s="365"/>
      <c r="C760" s="368"/>
      <c r="D760" s="98">
        <v>96</v>
      </c>
      <c r="E760" s="108">
        <v>2</v>
      </c>
    </row>
    <row r="761" spans="1:5" ht="15">
      <c r="A761" s="362"/>
      <c r="B761" s="365"/>
      <c r="C761" s="368"/>
      <c r="D761" s="97">
        <v>97</v>
      </c>
      <c r="E761" s="107">
        <v>1</v>
      </c>
    </row>
    <row r="762" spans="1:5">
      <c r="A762" s="362"/>
      <c r="B762" s="365"/>
      <c r="C762" s="368"/>
      <c r="D762" s="98">
        <v>98</v>
      </c>
      <c r="E762" s="108">
        <v>1</v>
      </c>
    </row>
    <row r="763" spans="1:5" ht="15">
      <c r="A763" s="362"/>
      <c r="B763" s="365"/>
      <c r="C763" s="368"/>
      <c r="D763" s="97">
        <v>99</v>
      </c>
      <c r="E763" s="107">
        <v>1</v>
      </c>
    </row>
    <row r="764" spans="1:5" ht="28">
      <c r="A764" s="362"/>
      <c r="B764" s="365"/>
      <c r="C764" s="368"/>
      <c r="D764" s="98" t="s">
        <v>11</v>
      </c>
      <c r="E764" s="108">
        <v>9</v>
      </c>
    </row>
    <row r="765" spans="1:5" ht="15">
      <c r="A765" s="362"/>
      <c r="B765" s="365"/>
      <c r="C765" s="368" t="s">
        <v>31</v>
      </c>
      <c r="D765" s="97">
        <v>100</v>
      </c>
      <c r="E765" s="107">
        <v>1</v>
      </c>
    </row>
    <row r="766" spans="1:5" ht="28">
      <c r="A766" s="362"/>
      <c r="B766" s="365"/>
      <c r="C766" s="368"/>
      <c r="D766" s="98" t="s">
        <v>11</v>
      </c>
      <c r="E766" s="108">
        <v>1</v>
      </c>
    </row>
    <row r="767" spans="1:5" ht="15">
      <c r="A767" s="362"/>
      <c r="B767" s="365"/>
      <c r="C767" s="368" t="s">
        <v>33</v>
      </c>
      <c r="D767" s="97">
        <v>114</v>
      </c>
      <c r="E767" s="107">
        <v>1</v>
      </c>
    </row>
    <row r="768" spans="1:5" ht="28">
      <c r="A768" s="362"/>
      <c r="B768" s="365"/>
      <c r="C768" s="368"/>
      <c r="D768" s="98" t="s">
        <v>11</v>
      </c>
      <c r="E768" s="108">
        <v>1</v>
      </c>
    </row>
    <row r="769" spans="1:5" ht="15">
      <c r="A769" s="362"/>
      <c r="B769" s="365" t="s">
        <v>106</v>
      </c>
      <c r="C769" s="368" t="s">
        <v>10</v>
      </c>
      <c r="D769" s="97">
        <v>0</v>
      </c>
      <c r="E769" s="107">
        <v>809</v>
      </c>
    </row>
    <row r="770" spans="1:5">
      <c r="A770" s="362"/>
      <c r="B770" s="365"/>
      <c r="C770" s="368"/>
      <c r="D770" s="98">
        <v>1</v>
      </c>
      <c r="E770" s="108">
        <v>823</v>
      </c>
    </row>
    <row r="771" spans="1:5" ht="15">
      <c r="A771" s="362"/>
      <c r="B771" s="365"/>
      <c r="C771" s="368"/>
      <c r="D771" s="97">
        <v>2</v>
      </c>
      <c r="E771" s="107">
        <v>890</v>
      </c>
    </row>
    <row r="772" spans="1:5">
      <c r="A772" s="362"/>
      <c r="B772" s="365"/>
      <c r="C772" s="368"/>
      <c r="D772" s="98">
        <v>3</v>
      </c>
      <c r="E772" s="108">
        <v>851</v>
      </c>
    </row>
    <row r="773" spans="1:5" ht="15">
      <c r="A773" s="362"/>
      <c r="B773" s="365"/>
      <c r="C773" s="368"/>
      <c r="D773" s="97">
        <v>4</v>
      </c>
      <c r="E773" s="107">
        <v>853</v>
      </c>
    </row>
    <row r="774" spans="1:5" ht="28">
      <c r="A774" s="362"/>
      <c r="B774" s="365"/>
      <c r="C774" s="368"/>
      <c r="D774" s="98" t="s">
        <v>11</v>
      </c>
      <c r="E774" s="108">
        <v>4226</v>
      </c>
    </row>
    <row r="775" spans="1:5" ht="15">
      <c r="A775" s="362"/>
      <c r="B775" s="365"/>
      <c r="C775" s="368" t="s">
        <v>12</v>
      </c>
      <c r="D775" s="97">
        <v>5</v>
      </c>
      <c r="E775" s="107">
        <v>828</v>
      </c>
    </row>
    <row r="776" spans="1:5">
      <c r="A776" s="362"/>
      <c r="B776" s="365"/>
      <c r="C776" s="368"/>
      <c r="D776" s="98">
        <v>6</v>
      </c>
      <c r="E776" s="108">
        <v>916</v>
      </c>
    </row>
    <row r="777" spans="1:5" ht="15">
      <c r="A777" s="362"/>
      <c r="B777" s="365"/>
      <c r="C777" s="368"/>
      <c r="D777" s="97">
        <v>7</v>
      </c>
      <c r="E777" s="107">
        <v>841</v>
      </c>
    </row>
    <row r="778" spans="1:5">
      <c r="A778" s="362"/>
      <c r="B778" s="365"/>
      <c r="C778" s="368"/>
      <c r="D778" s="98">
        <v>8</v>
      </c>
      <c r="E778" s="108">
        <v>802</v>
      </c>
    </row>
    <row r="779" spans="1:5" ht="15">
      <c r="A779" s="362"/>
      <c r="B779" s="365"/>
      <c r="C779" s="368"/>
      <c r="D779" s="97">
        <v>9</v>
      </c>
      <c r="E779" s="107">
        <v>830</v>
      </c>
    </row>
    <row r="780" spans="1:5" ht="28">
      <c r="A780" s="362"/>
      <c r="B780" s="365"/>
      <c r="C780" s="368"/>
      <c r="D780" s="98" t="s">
        <v>11</v>
      </c>
      <c r="E780" s="108">
        <v>4217</v>
      </c>
    </row>
    <row r="781" spans="1:5" ht="15">
      <c r="A781" s="362"/>
      <c r="B781" s="365"/>
      <c r="C781" s="368" t="s">
        <v>13</v>
      </c>
      <c r="D781" s="97">
        <v>10</v>
      </c>
      <c r="E781" s="107">
        <v>841</v>
      </c>
    </row>
    <row r="782" spans="1:5">
      <c r="A782" s="362"/>
      <c r="B782" s="365"/>
      <c r="C782" s="368"/>
      <c r="D782" s="98">
        <v>11</v>
      </c>
      <c r="E782" s="108">
        <v>814</v>
      </c>
    </row>
    <row r="783" spans="1:5" ht="15">
      <c r="A783" s="362"/>
      <c r="B783" s="365"/>
      <c r="C783" s="368"/>
      <c r="D783" s="97">
        <v>12</v>
      </c>
      <c r="E783" s="107">
        <v>743</v>
      </c>
    </row>
    <row r="784" spans="1:5">
      <c r="A784" s="362"/>
      <c r="B784" s="365"/>
      <c r="C784" s="368"/>
      <c r="D784" s="98">
        <v>13</v>
      </c>
      <c r="E784" s="108">
        <v>818</v>
      </c>
    </row>
    <row r="785" spans="1:5" ht="15">
      <c r="A785" s="362"/>
      <c r="B785" s="365"/>
      <c r="C785" s="368"/>
      <c r="D785" s="97">
        <v>14</v>
      </c>
      <c r="E785" s="107">
        <v>803</v>
      </c>
    </row>
    <row r="786" spans="1:5" ht="28">
      <c r="A786" s="362"/>
      <c r="B786" s="365"/>
      <c r="C786" s="368"/>
      <c r="D786" s="98" t="s">
        <v>11</v>
      </c>
      <c r="E786" s="108">
        <v>4019</v>
      </c>
    </row>
    <row r="787" spans="1:5" ht="15">
      <c r="A787" s="362"/>
      <c r="B787" s="365"/>
      <c r="C787" s="368" t="s">
        <v>14</v>
      </c>
      <c r="D787" s="97">
        <v>15</v>
      </c>
      <c r="E787" s="107">
        <v>792</v>
      </c>
    </row>
    <row r="788" spans="1:5">
      <c r="A788" s="362"/>
      <c r="B788" s="365"/>
      <c r="C788" s="368"/>
      <c r="D788" s="98">
        <v>16</v>
      </c>
      <c r="E788" s="108">
        <v>760</v>
      </c>
    </row>
    <row r="789" spans="1:5" ht="15">
      <c r="A789" s="362"/>
      <c r="B789" s="365"/>
      <c r="C789" s="368"/>
      <c r="D789" s="97">
        <v>17</v>
      </c>
      <c r="E789" s="107">
        <v>748</v>
      </c>
    </row>
    <row r="790" spans="1:5">
      <c r="A790" s="362"/>
      <c r="B790" s="365"/>
      <c r="C790" s="368"/>
      <c r="D790" s="98">
        <v>18</v>
      </c>
      <c r="E790" s="108">
        <v>844</v>
      </c>
    </row>
    <row r="791" spans="1:5" ht="15">
      <c r="A791" s="362"/>
      <c r="B791" s="365"/>
      <c r="C791" s="368"/>
      <c r="D791" s="97">
        <v>19</v>
      </c>
      <c r="E791" s="107">
        <v>752</v>
      </c>
    </row>
    <row r="792" spans="1:5" ht="28">
      <c r="A792" s="362"/>
      <c r="B792" s="365"/>
      <c r="C792" s="368"/>
      <c r="D792" s="98" t="s">
        <v>11</v>
      </c>
      <c r="E792" s="108">
        <v>3896</v>
      </c>
    </row>
    <row r="793" spans="1:5" ht="15">
      <c r="A793" s="362"/>
      <c r="B793" s="365"/>
      <c r="C793" s="368" t="s">
        <v>15</v>
      </c>
      <c r="D793" s="97">
        <v>20</v>
      </c>
      <c r="E793" s="107">
        <v>704</v>
      </c>
    </row>
    <row r="794" spans="1:5">
      <c r="A794" s="362"/>
      <c r="B794" s="365"/>
      <c r="C794" s="368"/>
      <c r="D794" s="98">
        <v>21</v>
      </c>
      <c r="E794" s="108">
        <v>697</v>
      </c>
    </row>
    <row r="795" spans="1:5" ht="15">
      <c r="A795" s="362"/>
      <c r="B795" s="365"/>
      <c r="C795" s="368"/>
      <c r="D795" s="97">
        <v>22</v>
      </c>
      <c r="E795" s="107">
        <v>754</v>
      </c>
    </row>
    <row r="796" spans="1:5">
      <c r="A796" s="362"/>
      <c r="B796" s="365"/>
      <c r="C796" s="368"/>
      <c r="D796" s="98">
        <v>23</v>
      </c>
      <c r="E796" s="108">
        <v>713</v>
      </c>
    </row>
    <row r="797" spans="1:5" ht="15">
      <c r="A797" s="362"/>
      <c r="B797" s="365"/>
      <c r="C797" s="368"/>
      <c r="D797" s="97">
        <v>24</v>
      </c>
      <c r="E797" s="107">
        <v>744</v>
      </c>
    </row>
    <row r="798" spans="1:5" ht="28">
      <c r="A798" s="362"/>
      <c r="B798" s="365"/>
      <c r="C798" s="368"/>
      <c r="D798" s="98" t="s">
        <v>11</v>
      </c>
      <c r="E798" s="108">
        <v>3612</v>
      </c>
    </row>
    <row r="799" spans="1:5" ht="15">
      <c r="A799" s="362"/>
      <c r="B799" s="365"/>
      <c r="C799" s="368" t="s">
        <v>16</v>
      </c>
      <c r="D799" s="97">
        <v>25</v>
      </c>
      <c r="E799" s="107">
        <v>754</v>
      </c>
    </row>
    <row r="800" spans="1:5">
      <c r="A800" s="362"/>
      <c r="B800" s="365"/>
      <c r="C800" s="368"/>
      <c r="D800" s="98">
        <v>26</v>
      </c>
      <c r="E800" s="108">
        <v>725</v>
      </c>
    </row>
    <row r="801" spans="1:5" ht="15">
      <c r="A801" s="362"/>
      <c r="B801" s="365"/>
      <c r="C801" s="368"/>
      <c r="D801" s="97">
        <v>27</v>
      </c>
      <c r="E801" s="107">
        <v>725</v>
      </c>
    </row>
    <row r="802" spans="1:5">
      <c r="A802" s="362"/>
      <c r="B802" s="365"/>
      <c r="C802" s="368"/>
      <c r="D802" s="98">
        <v>28</v>
      </c>
      <c r="E802" s="108">
        <v>737</v>
      </c>
    </row>
    <row r="803" spans="1:5" ht="15">
      <c r="A803" s="362"/>
      <c r="B803" s="365"/>
      <c r="C803" s="368"/>
      <c r="D803" s="97">
        <v>29</v>
      </c>
      <c r="E803" s="107">
        <v>706</v>
      </c>
    </row>
    <row r="804" spans="1:5" ht="28">
      <c r="A804" s="362"/>
      <c r="B804" s="365"/>
      <c r="C804" s="368"/>
      <c r="D804" s="98" t="s">
        <v>11</v>
      </c>
      <c r="E804" s="108">
        <v>3647</v>
      </c>
    </row>
    <row r="805" spans="1:5" ht="15">
      <c r="A805" s="362"/>
      <c r="B805" s="365"/>
      <c r="C805" s="368" t="s">
        <v>17</v>
      </c>
      <c r="D805" s="97">
        <v>30</v>
      </c>
      <c r="E805" s="107">
        <v>641</v>
      </c>
    </row>
    <row r="806" spans="1:5">
      <c r="A806" s="362"/>
      <c r="B806" s="365"/>
      <c r="C806" s="368"/>
      <c r="D806" s="98">
        <v>31</v>
      </c>
      <c r="E806" s="108">
        <v>633</v>
      </c>
    </row>
    <row r="807" spans="1:5" ht="15">
      <c r="A807" s="362"/>
      <c r="B807" s="365"/>
      <c r="C807" s="368"/>
      <c r="D807" s="97">
        <v>32</v>
      </c>
      <c r="E807" s="107">
        <v>640</v>
      </c>
    </row>
    <row r="808" spans="1:5">
      <c r="A808" s="362"/>
      <c r="B808" s="365"/>
      <c r="C808" s="368"/>
      <c r="D808" s="98">
        <v>33</v>
      </c>
      <c r="E808" s="108">
        <v>616</v>
      </c>
    </row>
    <row r="809" spans="1:5" ht="15">
      <c r="A809" s="362"/>
      <c r="B809" s="365"/>
      <c r="C809" s="368"/>
      <c r="D809" s="97">
        <v>34</v>
      </c>
      <c r="E809" s="107">
        <v>598</v>
      </c>
    </row>
    <row r="810" spans="1:5" ht="28">
      <c r="A810" s="362"/>
      <c r="B810" s="365"/>
      <c r="C810" s="368"/>
      <c r="D810" s="98" t="s">
        <v>11</v>
      </c>
      <c r="E810" s="108">
        <v>3128</v>
      </c>
    </row>
    <row r="811" spans="1:5" ht="15">
      <c r="A811" s="362"/>
      <c r="B811" s="365"/>
      <c r="C811" s="368" t="s">
        <v>18</v>
      </c>
      <c r="D811" s="97">
        <v>35</v>
      </c>
      <c r="E811" s="107">
        <v>612</v>
      </c>
    </row>
    <row r="812" spans="1:5">
      <c r="A812" s="362"/>
      <c r="B812" s="365"/>
      <c r="C812" s="368"/>
      <c r="D812" s="98">
        <v>36</v>
      </c>
      <c r="E812" s="108">
        <v>600</v>
      </c>
    </row>
    <row r="813" spans="1:5" ht="15">
      <c r="A813" s="362"/>
      <c r="B813" s="365"/>
      <c r="C813" s="368"/>
      <c r="D813" s="97">
        <v>37</v>
      </c>
      <c r="E813" s="107">
        <v>561</v>
      </c>
    </row>
    <row r="814" spans="1:5">
      <c r="A814" s="362"/>
      <c r="B814" s="365"/>
      <c r="C814" s="368"/>
      <c r="D814" s="98">
        <v>38</v>
      </c>
      <c r="E814" s="108">
        <v>550</v>
      </c>
    </row>
    <row r="815" spans="1:5" ht="15">
      <c r="A815" s="362"/>
      <c r="B815" s="365"/>
      <c r="C815" s="368"/>
      <c r="D815" s="97">
        <v>39</v>
      </c>
      <c r="E815" s="107">
        <v>521</v>
      </c>
    </row>
    <row r="816" spans="1:5" ht="28">
      <c r="A816" s="362"/>
      <c r="B816" s="365"/>
      <c r="C816" s="368"/>
      <c r="D816" s="98" t="s">
        <v>11</v>
      </c>
      <c r="E816" s="108">
        <v>2844</v>
      </c>
    </row>
    <row r="817" spans="1:5" ht="15">
      <c r="A817" s="362"/>
      <c r="B817" s="365"/>
      <c r="C817" s="368" t="s">
        <v>19</v>
      </c>
      <c r="D817" s="97">
        <v>40</v>
      </c>
      <c r="E817" s="107">
        <v>503</v>
      </c>
    </row>
    <row r="818" spans="1:5">
      <c r="A818" s="362"/>
      <c r="B818" s="365"/>
      <c r="C818" s="368"/>
      <c r="D818" s="98">
        <v>41</v>
      </c>
      <c r="E818" s="108">
        <v>418</v>
      </c>
    </row>
    <row r="819" spans="1:5" ht="15">
      <c r="A819" s="362"/>
      <c r="B819" s="365"/>
      <c r="C819" s="368"/>
      <c r="D819" s="97">
        <v>42</v>
      </c>
      <c r="E819" s="107">
        <v>433</v>
      </c>
    </row>
    <row r="820" spans="1:5">
      <c r="A820" s="362"/>
      <c r="B820" s="365"/>
      <c r="C820" s="368"/>
      <c r="D820" s="98">
        <v>43</v>
      </c>
      <c r="E820" s="108">
        <v>378</v>
      </c>
    </row>
    <row r="821" spans="1:5" ht="15">
      <c r="A821" s="362"/>
      <c r="B821" s="365"/>
      <c r="C821" s="368"/>
      <c r="D821" s="97">
        <v>44</v>
      </c>
      <c r="E821" s="107">
        <v>359</v>
      </c>
    </row>
    <row r="822" spans="1:5" ht="28">
      <c r="A822" s="362"/>
      <c r="B822" s="365"/>
      <c r="C822" s="368"/>
      <c r="D822" s="98" t="s">
        <v>11</v>
      </c>
      <c r="E822" s="108">
        <v>2091</v>
      </c>
    </row>
    <row r="823" spans="1:5" ht="15">
      <c r="A823" s="362"/>
      <c r="B823" s="365"/>
      <c r="C823" s="368" t="s">
        <v>20</v>
      </c>
      <c r="D823" s="97">
        <v>45</v>
      </c>
      <c r="E823" s="107">
        <v>387</v>
      </c>
    </row>
    <row r="824" spans="1:5">
      <c r="A824" s="362"/>
      <c r="B824" s="365"/>
      <c r="C824" s="368"/>
      <c r="D824" s="98">
        <v>46</v>
      </c>
      <c r="E824" s="108">
        <v>404</v>
      </c>
    </row>
    <row r="825" spans="1:5" ht="15">
      <c r="A825" s="362"/>
      <c r="B825" s="365"/>
      <c r="C825" s="368"/>
      <c r="D825" s="97">
        <v>47</v>
      </c>
      <c r="E825" s="107">
        <v>389</v>
      </c>
    </row>
    <row r="826" spans="1:5">
      <c r="A826" s="362"/>
      <c r="B826" s="365"/>
      <c r="C826" s="368"/>
      <c r="D826" s="98">
        <v>48</v>
      </c>
      <c r="E826" s="108">
        <v>415</v>
      </c>
    </row>
    <row r="827" spans="1:5" ht="15">
      <c r="A827" s="362"/>
      <c r="B827" s="365"/>
      <c r="C827" s="368"/>
      <c r="D827" s="97">
        <v>49</v>
      </c>
      <c r="E827" s="107">
        <v>412</v>
      </c>
    </row>
    <row r="828" spans="1:5" ht="28">
      <c r="A828" s="362"/>
      <c r="B828" s="365"/>
      <c r="C828" s="368"/>
      <c r="D828" s="98" t="s">
        <v>11</v>
      </c>
      <c r="E828" s="108">
        <v>2007</v>
      </c>
    </row>
    <row r="829" spans="1:5" ht="15">
      <c r="A829" s="362"/>
      <c r="B829" s="365"/>
      <c r="C829" s="368" t="s">
        <v>21</v>
      </c>
      <c r="D829" s="97">
        <v>50</v>
      </c>
      <c r="E829" s="107">
        <v>383</v>
      </c>
    </row>
    <row r="830" spans="1:5">
      <c r="A830" s="362"/>
      <c r="B830" s="365"/>
      <c r="C830" s="368"/>
      <c r="D830" s="98">
        <v>51</v>
      </c>
      <c r="E830" s="108">
        <v>370</v>
      </c>
    </row>
    <row r="831" spans="1:5" ht="15">
      <c r="A831" s="362"/>
      <c r="B831" s="365"/>
      <c r="C831" s="368"/>
      <c r="D831" s="97">
        <v>52</v>
      </c>
      <c r="E831" s="107">
        <v>368</v>
      </c>
    </row>
    <row r="832" spans="1:5">
      <c r="A832" s="362"/>
      <c r="B832" s="365"/>
      <c r="C832" s="368"/>
      <c r="D832" s="98">
        <v>53</v>
      </c>
      <c r="E832" s="108">
        <v>333</v>
      </c>
    </row>
    <row r="833" spans="1:5" ht="15">
      <c r="A833" s="362"/>
      <c r="B833" s="365"/>
      <c r="C833" s="368"/>
      <c r="D833" s="97">
        <v>54</v>
      </c>
      <c r="E833" s="107">
        <v>354</v>
      </c>
    </row>
    <row r="834" spans="1:5" ht="28">
      <c r="A834" s="362"/>
      <c r="B834" s="365"/>
      <c r="C834" s="368"/>
      <c r="D834" s="98" t="s">
        <v>11</v>
      </c>
      <c r="E834" s="108">
        <v>1808</v>
      </c>
    </row>
    <row r="835" spans="1:5" ht="15">
      <c r="A835" s="362"/>
      <c r="B835" s="365"/>
      <c r="C835" s="368" t="s">
        <v>22</v>
      </c>
      <c r="D835" s="97">
        <v>55</v>
      </c>
      <c r="E835" s="107">
        <v>369</v>
      </c>
    </row>
    <row r="836" spans="1:5">
      <c r="A836" s="362"/>
      <c r="B836" s="365"/>
      <c r="C836" s="368"/>
      <c r="D836" s="98">
        <v>56</v>
      </c>
      <c r="E836" s="108">
        <v>323</v>
      </c>
    </row>
    <row r="837" spans="1:5" ht="15">
      <c r="A837" s="362"/>
      <c r="B837" s="365"/>
      <c r="C837" s="368"/>
      <c r="D837" s="97">
        <v>57</v>
      </c>
      <c r="E837" s="107">
        <v>302</v>
      </c>
    </row>
    <row r="838" spans="1:5">
      <c r="A838" s="362"/>
      <c r="B838" s="365"/>
      <c r="C838" s="368"/>
      <c r="D838" s="98">
        <v>58</v>
      </c>
      <c r="E838" s="108">
        <v>310</v>
      </c>
    </row>
    <row r="839" spans="1:5" ht="15">
      <c r="A839" s="362"/>
      <c r="B839" s="365"/>
      <c r="C839" s="368"/>
      <c r="D839" s="97">
        <v>59</v>
      </c>
      <c r="E839" s="107">
        <v>286</v>
      </c>
    </row>
    <row r="840" spans="1:5" ht="28">
      <c r="A840" s="362"/>
      <c r="B840" s="365"/>
      <c r="C840" s="368"/>
      <c r="D840" s="98" t="s">
        <v>11</v>
      </c>
      <c r="E840" s="108">
        <v>1590</v>
      </c>
    </row>
    <row r="841" spans="1:5" ht="15">
      <c r="A841" s="362"/>
      <c r="B841" s="365"/>
      <c r="C841" s="368" t="s">
        <v>23</v>
      </c>
      <c r="D841" s="97">
        <v>60</v>
      </c>
      <c r="E841" s="107">
        <v>302</v>
      </c>
    </row>
    <row r="842" spans="1:5">
      <c r="A842" s="362"/>
      <c r="B842" s="365"/>
      <c r="C842" s="368"/>
      <c r="D842" s="98">
        <v>61</v>
      </c>
      <c r="E842" s="108">
        <v>283</v>
      </c>
    </row>
    <row r="843" spans="1:5" ht="15">
      <c r="A843" s="362"/>
      <c r="B843" s="365"/>
      <c r="C843" s="368"/>
      <c r="D843" s="97">
        <v>62</v>
      </c>
      <c r="E843" s="107">
        <v>266</v>
      </c>
    </row>
    <row r="844" spans="1:5">
      <c r="A844" s="362"/>
      <c r="B844" s="365"/>
      <c r="C844" s="368"/>
      <c r="D844" s="98">
        <v>63</v>
      </c>
      <c r="E844" s="108">
        <v>232</v>
      </c>
    </row>
    <row r="845" spans="1:5" ht="15">
      <c r="A845" s="362"/>
      <c r="B845" s="365"/>
      <c r="C845" s="368"/>
      <c r="D845" s="97">
        <v>64</v>
      </c>
      <c r="E845" s="107">
        <v>226</v>
      </c>
    </row>
    <row r="846" spans="1:5" ht="28">
      <c r="A846" s="362"/>
      <c r="B846" s="365"/>
      <c r="C846" s="368"/>
      <c r="D846" s="98" t="s">
        <v>11</v>
      </c>
      <c r="E846" s="108">
        <v>1309</v>
      </c>
    </row>
    <row r="847" spans="1:5" ht="15">
      <c r="A847" s="362"/>
      <c r="B847" s="365"/>
      <c r="C847" s="368" t="s">
        <v>24</v>
      </c>
      <c r="D847" s="97">
        <v>65</v>
      </c>
      <c r="E847" s="107">
        <v>206</v>
      </c>
    </row>
    <row r="848" spans="1:5">
      <c r="A848" s="362"/>
      <c r="B848" s="365"/>
      <c r="C848" s="368"/>
      <c r="D848" s="98">
        <v>66</v>
      </c>
      <c r="E848" s="108">
        <v>180</v>
      </c>
    </row>
    <row r="849" spans="1:5" ht="15">
      <c r="A849" s="362"/>
      <c r="B849" s="365"/>
      <c r="C849" s="368"/>
      <c r="D849" s="97">
        <v>67</v>
      </c>
      <c r="E849" s="107">
        <v>176</v>
      </c>
    </row>
    <row r="850" spans="1:5">
      <c r="A850" s="362"/>
      <c r="B850" s="365"/>
      <c r="C850" s="368"/>
      <c r="D850" s="98">
        <v>68</v>
      </c>
      <c r="E850" s="108">
        <v>179</v>
      </c>
    </row>
    <row r="851" spans="1:5" ht="15">
      <c r="A851" s="362"/>
      <c r="B851" s="365"/>
      <c r="C851" s="368"/>
      <c r="D851" s="97">
        <v>69</v>
      </c>
      <c r="E851" s="107">
        <v>134</v>
      </c>
    </row>
    <row r="852" spans="1:5" ht="28">
      <c r="A852" s="362"/>
      <c r="B852" s="365"/>
      <c r="C852" s="368"/>
      <c r="D852" s="98" t="s">
        <v>11</v>
      </c>
      <c r="E852" s="108">
        <v>875</v>
      </c>
    </row>
    <row r="853" spans="1:5" ht="15">
      <c r="A853" s="362"/>
      <c r="B853" s="365"/>
      <c r="C853" s="368" t="s">
        <v>25</v>
      </c>
      <c r="D853" s="97">
        <v>70</v>
      </c>
      <c r="E853" s="107">
        <v>127</v>
      </c>
    </row>
    <row r="854" spans="1:5">
      <c r="A854" s="362"/>
      <c r="B854" s="365"/>
      <c r="C854" s="368"/>
      <c r="D854" s="98">
        <v>71</v>
      </c>
      <c r="E854" s="108">
        <v>125</v>
      </c>
    </row>
    <row r="855" spans="1:5" ht="15">
      <c r="A855" s="362"/>
      <c r="B855" s="365"/>
      <c r="C855" s="368"/>
      <c r="D855" s="97">
        <v>72</v>
      </c>
      <c r="E855" s="107">
        <v>110</v>
      </c>
    </row>
    <row r="856" spans="1:5">
      <c r="A856" s="362"/>
      <c r="B856" s="365"/>
      <c r="C856" s="368"/>
      <c r="D856" s="98">
        <v>73</v>
      </c>
      <c r="E856" s="108">
        <v>118</v>
      </c>
    </row>
    <row r="857" spans="1:5" ht="15">
      <c r="A857" s="362"/>
      <c r="B857" s="365"/>
      <c r="C857" s="368"/>
      <c r="D857" s="97">
        <v>74</v>
      </c>
      <c r="E857" s="107">
        <v>112</v>
      </c>
    </row>
    <row r="858" spans="1:5" ht="28">
      <c r="A858" s="362"/>
      <c r="B858" s="365"/>
      <c r="C858" s="368"/>
      <c r="D858" s="98" t="s">
        <v>11</v>
      </c>
      <c r="E858" s="108">
        <v>592</v>
      </c>
    </row>
    <row r="859" spans="1:5" ht="15">
      <c r="A859" s="362"/>
      <c r="B859" s="365"/>
      <c r="C859" s="368" t="s">
        <v>26</v>
      </c>
      <c r="D859" s="97">
        <v>75</v>
      </c>
      <c r="E859" s="107">
        <v>88</v>
      </c>
    </row>
    <row r="860" spans="1:5">
      <c r="A860" s="362"/>
      <c r="B860" s="365"/>
      <c r="C860" s="368"/>
      <c r="D860" s="98">
        <v>76</v>
      </c>
      <c r="E860" s="108">
        <v>97</v>
      </c>
    </row>
    <row r="861" spans="1:5" ht="15">
      <c r="A861" s="362"/>
      <c r="B861" s="365"/>
      <c r="C861" s="368"/>
      <c r="D861" s="97">
        <v>77</v>
      </c>
      <c r="E861" s="107">
        <v>93</v>
      </c>
    </row>
    <row r="862" spans="1:5">
      <c r="A862" s="362"/>
      <c r="B862" s="365"/>
      <c r="C862" s="368"/>
      <c r="D862" s="98">
        <v>78</v>
      </c>
      <c r="E862" s="108">
        <v>89</v>
      </c>
    </row>
    <row r="863" spans="1:5" ht="15">
      <c r="A863" s="362"/>
      <c r="B863" s="365"/>
      <c r="C863" s="368"/>
      <c r="D863" s="97">
        <v>79</v>
      </c>
      <c r="E863" s="107">
        <v>64</v>
      </c>
    </row>
    <row r="864" spans="1:5" ht="28">
      <c r="A864" s="362"/>
      <c r="B864" s="365"/>
      <c r="C864" s="368"/>
      <c r="D864" s="98" t="s">
        <v>11</v>
      </c>
      <c r="E864" s="108">
        <v>431</v>
      </c>
    </row>
    <row r="865" spans="1:5" ht="15">
      <c r="A865" s="362"/>
      <c r="B865" s="365"/>
      <c r="C865" s="368" t="s">
        <v>27</v>
      </c>
      <c r="D865" s="97">
        <v>80</v>
      </c>
      <c r="E865" s="107">
        <v>52</v>
      </c>
    </row>
    <row r="866" spans="1:5">
      <c r="A866" s="362"/>
      <c r="B866" s="365"/>
      <c r="C866" s="368"/>
      <c r="D866" s="98">
        <v>81</v>
      </c>
      <c r="E866" s="108">
        <v>59</v>
      </c>
    </row>
    <row r="867" spans="1:5" ht="15">
      <c r="A867" s="362"/>
      <c r="B867" s="365"/>
      <c r="C867" s="368"/>
      <c r="D867" s="97">
        <v>82</v>
      </c>
      <c r="E867" s="107">
        <v>55</v>
      </c>
    </row>
    <row r="868" spans="1:5">
      <c r="A868" s="362"/>
      <c r="B868" s="365"/>
      <c r="C868" s="368"/>
      <c r="D868" s="98">
        <v>83</v>
      </c>
      <c r="E868" s="108">
        <v>48</v>
      </c>
    </row>
    <row r="869" spans="1:5" ht="15">
      <c r="A869" s="362"/>
      <c r="B869" s="365"/>
      <c r="C869" s="368"/>
      <c r="D869" s="97">
        <v>84</v>
      </c>
      <c r="E869" s="107">
        <v>37</v>
      </c>
    </row>
    <row r="870" spans="1:5" ht="28">
      <c r="A870" s="362"/>
      <c r="B870" s="365"/>
      <c r="C870" s="368"/>
      <c r="D870" s="98" t="s">
        <v>11</v>
      </c>
      <c r="E870" s="108">
        <v>251</v>
      </c>
    </row>
    <row r="871" spans="1:5" ht="15">
      <c r="A871" s="362"/>
      <c r="B871" s="365"/>
      <c r="C871" s="368" t="s">
        <v>28</v>
      </c>
      <c r="D871" s="97">
        <v>85</v>
      </c>
      <c r="E871" s="107">
        <v>48</v>
      </c>
    </row>
    <row r="872" spans="1:5">
      <c r="A872" s="362"/>
      <c r="B872" s="365"/>
      <c r="C872" s="368"/>
      <c r="D872" s="98">
        <v>86</v>
      </c>
      <c r="E872" s="108">
        <v>44</v>
      </c>
    </row>
    <row r="873" spans="1:5" ht="15">
      <c r="A873" s="362"/>
      <c r="B873" s="365"/>
      <c r="C873" s="368"/>
      <c r="D873" s="97">
        <v>87</v>
      </c>
      <c r="E873" s="107">
        <v>27</v>
      </c>
    </row>
    <row r="874" spans="1:5">
      <c r="A874" s="362"/>
      <c r="B874" s="365"/>
      <c r="C874" s="368"/>
      <c r="D874" s="98">
        <v>88</v>
      </c>
      <c r="E874" s="108">
        <v>36</v>
      </c>
    </row>
    <row r="875" spans="1:5" ht="15">
      <c r="A875" s="362"/>
      <c r="B875" s="365"/>
      <c r="C875" s="368"/>
      <c r="D875" s="97">
        <v>89</v>
      </c>
      <c r="E875" s="107">
        <v>20</v>
      </c>
    </row>
    <row r="876" spans="1:5" ht="28">
      <c r="A876" s="362"/>
      <c r="B876" s="365"/>
      <c r="C876" s="368"/>
      <c r="D876" s="98" t="s">
        <v>11</v>
      </c>
      <c r="E876" s="108">
        <v>175</v>
      </c>
    </row>
    <row r="877" spans="1:5" ht="15">
      <c r="A877" s="362"/>
      <c r="B877" s="365"/>
      <c r="C877" s="368" t="s">
        <v>29</v>
      </c>
      <c r="D877" s="97">
        <v>90</v>
      </c>
      <c r="E877" s="107">
        <v>35</v>
      </c>
    </row>
    <row r="878" spans="1:5">
      <c r="A878" s="362"/>
      <c r="B878" s="365"/>
      <c r="C878" s="368"/>
      <c r="D878" s="98">
        <v>91</v>
      </c>
      <c r="E878" s="108">
        <v>16</v>
      </c>
    </row>
    <row r="879" spans="1:5" ht="15">
      <c r="A879" s="362"/>
      <c r="B879" s="365"/>
      <c r="C879" s="368"/>
      <c r="D879" s="97">
        <v>92</v>
      </c>
      <c r="E879" s="107">
        <v>17</v>
      </c>
    </row>
    <row r="880" spans="1:5">
      <c r="A880" s="362"/>
      <c r="B880" s="365"/>
      <c r="C880" s="368"/>
      <c r="D880" s="98">
        <v>93</v>
      </c>
      <c r="E880" s="108">
        <v>21</v>
      </c>
    </row>
    <row r="881" spans="1:5" ht="15">
      <c r="A881" s="362"/>
      <c r="B881" s="365"/>
      <c r="C881" s="368"/>
      <c r="D881" s="97">
        <v>94</v>
      </c>
      <c r="E881" s="107">
        <v>9</v>
      </c>
    </row>
    <row r="882" spans="1:5" ht="28">
      <c r="A882" s="362"/>
      <c r="B882" s="365"/>
      <c r="C882" s="368"/>
      <c r="D882" s="98" t="s">
        <v>11</v>
      </c>
      <c r="E882" s="108">
        <v>98</v>
      </c>
    </row>
    <row r="883" spans="1:5" ht="15">
      <c r="A883" s="362"/>
      <c r="B883" s="365"/>
      <c r="C883" s="368" t="s">
        <v>30</v>
      </c>
      <c r="D883" s="97">
        <v>95</v>
      </c>
      <c r="E883" s="107">
        <v>9</v>
      </c>
    </row>
    <row r="884" spans="1:5">
      <c r="A884" s="362"/>
      <c r="B884" s="365"/>
      <c r="C884" s="368"/>
      <c r="D884" s="98">
        <v>96</v>
      </c>
      <c r="E884" s="108">
        <v>6</v>
      </c>
    </row>
    <row r="885" spans="1:5" ht="15">
      <c r="A885" s="362"/>
      <c r="B885" s="365"/>
      <c r="C885" s="368"/>
      <c r="D885" s="97">
        <v>97</v>
      </c>
      <c r="E885" s="107">
        <v>6</v>
      </c>
    </row>
    <row r="886" spans="1:5">
      <c r="A886" s="362"/>
      <c r="B886" s="365"/>
      <c r="C886" s="368"/>
      <c r="D886" s="98">
        <v>98</v>
      </c>
      <c r="E886" s="108">
        <v>2</v>
      </c>
    </row>
    <row r="887" spans="1:5" ht="15">
      <c r="A887" s="362"/>
      <c r="B887" s="365"/>
      <c r="C887" s="368"/>
      <c r="D887" s="97">
        <v>99</v>
      </c>
      <c r="E887" s="107">
        <v>8</v>
      </c>
    </row>
    <row r="888" spans="1:5" ht="28">
      <c r="A888" s="362"/>
      <c r="B888" s="365"/>
      <c r="C888" s="368"/>
      <c r="D888" s="98" t="s">
        <v>11</v>
      </c>
      <c r="E888" s="108">
        <v>31</v>
      </c>
    </row>
    <row r="889" spans="1:5" ht="15">
      <c r="A889" s="362"/>
      <c r="B889" s="365"/>
      <c r="C889" s="368" t="s">
        <v>31</v>
      </c>
      <c r="D889" s="97">
        <v>100</v>
      </c>
      <c r="E889" s="107">
        <v>3</v>
      </c>
    </row>
    <row r="890" spans="1:5">
      <c r="A890" s="362"/>
      <c r="B890" s="365"/>
      <c r="C890" s="368"/>
      <c r="D890" s="98">
        <v>101</v>
      </c>
      <c r="E890" s="108">
        <v>1</v>
      </c>
    </row>
    <row r="891" spans="1:5" ht="15">
      <c r="A891" s="362"/>
      <c r="B891" s="365"/>
      <c r="C891" s="368"/>
      <c r="D891" s="97">
        <v>102</v>
      </c>
      <c r="E891" s="107">
        <v>1</v>
      </c>
    </row>
    <row r="892" spans="1:5" ht="28">
      <c r="A892" s="362"/>
      <c r="B892" s="365"/>
      <c r="C892" s="368"/>
      <c r="D892" s="98" t="s">
        <v>11</v>
      </c>
      <c r="E892" s="108">
        <v>5</v>
      </c>
    </row>
    <row r="893" spans="1:5" ht="15">
      <c r="A893" s="362"/>
      <c r="B893" s="365" t="s">
        <v>107</v>
      </c>
      <c r="C893" s="368" t="s">
        <v>10</v>
      </c>
      <c r="D893" s="97">
        <v>0</v>
      </c>
      <c r="E893" s="107">
        <v>389</v>
      </c>
    </row>
    <row r="894" spans="1:5">
      <c r="A894" s="362"/>
      <c r="B894" s="365"/>
      <c r="C894" s="368"/>
      <c r="D894" s="98">
        <v>1</v>
      </c>
      <c r="E894" s="108">
        <v>382</v>
      </c>
    </row>
    <row r="895" spans="1:5" ht="15">
      <c r="A895" s="362"/>
      <c r="B895" s="365"/>
      <c r="C895" s="368"/>
      <c r="D895" s="97">
        <v>2</v>
      </c>
      <c r="E895" s="107">
        <v>391</v>
      </c>
    </row>
    <row r="896" spans="1:5">
      <c r="A896" s="362"/>
      <c r="B896" s="365"/>
      <c r="C896" s="368"/>
      <c r="D896" s="98">
        <v>3</v>
      </c>
      <c r="E896" s="108">
        <v>378</v>
      </c>
    </row>
    <row r="897" spans="1:5" ht="15">
      <c r="A897" s="362"/>
      <c r="B897" s="365"/>
      <c r="C897" s="368"/>
      <c r="D897" s="97">
        <v>4</v>
      </c>
      <c r="E897" s="107">
        <v>387</v>
      </c>
    </row>
    <row r="898" spans="1:5" ht="28">
      <c r="A898" s="362"/>
      <c r="B898" s="365"/>
      <c r="C898" s="368"/>
      <c r="D898" s="98" t="s">
        <v>11</v>
      </c>
      <c r="E898" s="108">
        <v>1927</v>
      </c>
    </row>
    <row r="899" spans="1:5" ht="15">
      <c r="A899" s="362"/>
      <c r="B899" s="365"/>
      <c r="C899" s="368" t="s">
        <v>12</v>
      </c>
      <c r="D899" s="97">
        <v>5</v>
      </c>
      <c r="E899" s="107">
        <v>430</v>
      </c>
    </row>
    <row r="900" spans="1:5">
      <c r="A900" s="362"/>
      <c r="B900" s="365"/>
      <c r="C900" s="368"/>
      <c r="D900" s="98">
        <v>6</v>
      </c>
      <c r="E900" s="108">
        <v>387</v>
      </c>
    </row>
    <row r="901" spans="1:5" ht="15">
      <c r="A901" s="362"/>
      <c r="B901" s="365"/>
      <c r="C901" s="368"/>
      <c r="D901" s="97">
        <v>7</v>
      </c>
      <c r="E901" s="107">
        <v>393</v>
      </c>
    </row>
    <row r="902" spans="1:5">
      <c r="A902" s="362"/>
      <c r="B902" s="365"/>
      <c r="C902" s="368"/>
      <c r="D902" s="98">
        <v>8</v>
      </c>
      <c r="E902" s="108">
        <v>358</v>
      </c>
    </row>
    <row r="903" spans="1:5" ht="15">
      <c r="A903" s="362"/>
      <c r="B903" s="365"/>
      <c r="C903" s="368"/>
      <c r="D903" s="97">
        <v>9</v>
      </c>
      <c r="E903" s="107">
        <v>403</v>
      </c>
    </row>
    <row r="904" spans="1:5" ht="28">
      <c r="A904" s="362"/>
      <c r="B904" s="365"/>
      <c r="C904" s="368"/>
      <c r="D904" s="98" t="s">
        <v>11</v>
      </c>
      <c r="E904" s="108">
        <v>1971</v>
      </c>
    </row>
    <row r="905" spans="1:5" ht="15">
      <c r="A905" s="362"/>
      <c r="B905" s="365"/>
      <c r="C905" s="368" t="s">
        <v>13</v>
      </c>
      <c r="D905" s="97">
        <v>10</v>
      </c>
      <c r="E905" s="107">
        <v>426</v>
      </c>
    </row>
    <row r="906" spans="1:5">
      <c r="A906" s="362"/>
      <c r="B906" s="365"/>
      <c r="C906" s="368"/>
      <c r="D906" s="98">
        <v>11</v>
      </c>
      <c r="E906" s="108">
        <v>378</v>
      </c>
    </row>
    <row r="907" spans="1:5" ht="15">
      <c r="A907" s="362"/>
      <c r="B907" s="365"/>
      <c r="C907" s="368"/>
      <c r="D907" s="97">
        <v>12</v>
      </c>
      <c r="E907" s="107">
        <v>393</v>
      </c>
    </row>
    <row r="908" spans="1:5">
      <c r="A908" s="362"/>
      <c r="B908" s="365"/>
      <c r="C908" s="368"/>
      <c r="D908" s="98">
        <v>13</v>
      </c>
      <c r="E908" s="108">
        <v>363</v>
      </c>
    </row>
    <row r="909" spans="1:5" ht="15">
      <c r="A909" s="362"/>
      <c r="B909" s="365"/>
      <c r="C909" s="368"/>
      <c r="D909" s="97">
        <v>14</v>
      </c>
      <c r="E909" s="107">
        <v>390</v>
      </c>
    </row>
    <row r="910" spans="1:5" ht="28">
      <c r="A910" s="362"/>
      <c r="B910" s="365"/>
      <c r="C910" s="368"/>
      <c r="D910" s="98" t="s">
        <v>11</v>
      </c>
      <c r="E910" s="108">
        <v>1950</v>
      </c>
    </row>
    <row r="911" spans="1:5" ht="15">
      <c r="A911" s="362"/>
      <c r="B911" s="365"/>
      <c r="C911" s="368" t="s">
        <v>14</v>
      </c>
      <c r="D911" s="97">
        <v>15</v>
      </c>
      <c r="E911" s="107">
        <v>387</v>
      </c>
    </row>
    <row r="912" spans="1:5">
      <c r="A912" s="362"/>
      <c r="B912" s="365"/>
      <c r="C912" s="368"/>
      <c r="D912" s="98">
        <v>16</v>
      </c>
      <c r="E912" s="108">
        <v>340</v>
      </c>
    </row>
    <row r="913" spans="1:5" ht="15">
      <c r="A913" s="362"/>
      <c r="B913" s="365"/>
      <c r="C913" s="368"/>
      <c r="D913" s="97">
        <v>17</v>
      </c>
      <c r="E913" s="107">
        <v>383</v>
      </c>
    </row>
    <row r="914" spans="1:5">
      <c r="A914" s="362"/>
      <c r="B914" s="365"/>
      <c r="C914" s="368"/>
      <c r="D914" s="98">
        <v>18</v>
      </c>
      <c r="E914" s="108">
        <v>427</v>
      </c>
    </row>
    <row r="915" spans="1:5" ht="15">
      <c r="A915" s="362"/>
      <c r="B915" s="365"/>
      <c r="C915" s="368"/>
      <c r="D915" s="97">
        <v>19</v>
      </c>
      <c r="E915" s="107">
        <v>379</v>
      </c>
    </row>
    <row r="916" spans="1:5" ht="28">
      <c r="A916" s="362"/>
      <c r="B916" s="365"/>
      <c r="C916" s="368"/>
      <c r="D916" s="98" t="s">
        <v>11</v>
      </c>
      <c r="E916" s="108">
        <v>1916</v>
      </c>
    </row>
    <row r="917" spans="1:5" ht="15">
      <c r="A917" s="362"/>
      <c r="B917" s="365"/>
      <c r="C917" s="368" t="s">
        <v>15</v>
      </c>
      <c r="D917" s="97">
        <v>20</v>
      </c>
      <c r="E917" s="107">
        <v>389</v>
      </c>
    </row>
    <row r="918" spans="1:5">
      <c r="A918" s="362"/>
      <c r="B918" s="365"/>
      <c r="C918" s="368"/>
      <c r="D918" s="98">
        <v>21</v>
      </c>
      <c r="E918" s="108">
        <v>402</v>
      </c>
    </row>
    <row r="919" spans="1:5" ht="15">
      <c r="A919" s="362"/>
      <c r="B919" s="365"/>
      <c r="C919" s="368"/>
      <c r="D919" s="97">
        <v>22</v>
      </c>
      <c r="E919" s="107">
        <v>368</v>
      </c>
    </row>
    <row r="920" spans="1:5">
      <c r="A920" s="362"/>
      <c r="B920" s="365"/>
      <c r="C920" s="368"/>
      <c r="D920" s="98">
        <v>23</v>
      </c>
      <c r="E920" s="108">
        <v>367</v>
      </c>
    </row>
    <row r="921" spans="1:5" ht="15">
      <c r="A921" s="362"/>
      <c r="B921" s="365"/>
      <c r="C921" s="368"/>
      <c r="D921" s="97">
        <v>24</v>
      </c>
      <c r="E921" s="107">
        <v>328</v>
      </c>
    </row>
    <row r="922" spans="1:5" ht="28">
      <c r="A922" s="362"/>
      <c r="B922" s="365"/>
      <c r="C922" s="368"/>
      <c r="D922" s="98" t="s">
        <v>11</v>
      </c>
      <c r="E922" s="108">
        <v>1854</v>
      </c>
    </row>
    <row r="923" spans="1:5" ht="15">
      <c r="A923" s="362"/>
      <c r="B923" s="365"/>
      <c r="C923" s="368" t="s">
        <v>16</v>
      </c>
      <c r="D923" s="97">
        <v>25</v>
      </c>
      <c r="E923" s="107">
        <v>306</v>
      </c>
    </row>
    <row r="924" spans="1:5">
      <c r="A924" s="362"/>
      <c r="B924" s="365"/>
      <c r="C924" s="368"/>
      <c r="D924" s="98">
        <v>26</v>
      </c>
      <c r="E924" s="108">
        <v>337</v>
      </c>
    </row>
    <row r="925" spans="1:5" ht="15">
      <c r="A925" s="362"/>
      <c r="B925" s="365"/>
      <c r="C925" s="368"/>
      <c r="D925" s="97">
        <v>27</v>
      </c>
      <c r="E925" s="107">
        <v>292</v>
      </c>
    </row>
    <row r="926" spans="1:5">
      <c r="A926" s="362"/>
      <c r="B926" s="365"/>
      <c r="C926" s="368"/>
      <c r="D926" s="98">
        <v>28</v>
      </c>
      <c r="E926" s="108">
        <v>296</v>
      </c>
    </row>
    <row r="927" spans="1:5" ht="15">
      <c r="A927" s="362"/>
      <c r="B927" s="365"/>
      <c r="C927" s="368"/>
      <c r="D927" s="97">
        <v>29</v>
      </c>
      <c r="E927" s="107">
        <v>278</v>
      </c>
    </row>
    <row r="928" spans="1:5" ht="28">
      <c r="A928" s="362"/>
      <c r="B928" s="365"/>
      <c r="C928" s="368"/>
      <c r="D928" s="98" t="s">
        <v>11</v>
      </c>
      <c r="E928" s="108">
        <v>1509</v>
      </c>
    </row>
    <row r="929" spans="1:5" ht="15">
      <c r="A929" s="362"/>
      <c r="B929" s="365"/>
      <c r="C929" s="368" t="s">
        <v>17</v>
      </c>
      <c r="D929" s="97">
        <v>30</v>
      </c>
      <c r="E929" s="107">
        <v>305</v>
      </c>
    </row>
    <row r="930" spans="1:5">
      <c r="A930" s="362"/>
      <c r="B930" s="365"/>
      <c r="C930" s="368"/>
      <c r="D930" s="98">
        <v>31</v>
      </c>
      <c r="E930" s="108">
        <v>278</v>
      </c>
    </row>
    <row r="931" spans="1:5" ht="15">
      <c r="A931" s="362"/>
      <c r="B931" s="365"/>
      <c r="C931" s="368"/>
      <c r="D931" s="97">
        <v>32</v>
      </c>
      <c r="E931" s="107">
        <v>278</v>
      </c>
    </row>
    <row r="932" spans="1:5">
      <c r="A932" s="362"/>
      <c r="B932" s="365"/>
      <c r="C932" s="368"/>
      <c r="D932" s="98">
        <v>33</v>
      </c>
      <c r="E932" s="108">
        <v>264</v>
      </c>
    </row>
    <row r="933" spans="1:5" ht="15">
      <c r="A933" s="362"/>
      <c r="B933" s="365"/>
      <c r="C933" s="368"/>
      <c r="D933" s="97">
        <v>34</v>
      </c>
      <c r="E933" s="107">
        <v>265</v>
      </c>
    </row>
    <row r="934" spans="1:5" ht="28">
      <c r="A934" s="362"/>
      <c r="B934" s="365"/>
      <c r="C934" s="368"/>
      <c r="D934" s="98" t="s">
        <v>11</v>
      </c>
      <c r="E934" s="108">
        <v>1390</v>
      </c>
    </row>
    <row r="935" spans="1:5" ht="15">
      <c r="A935" s="362"/>
      <c r="B935" s="365"/>
      <c r="C935" s="368" t="s">
        <v>18</v>
      </c>
      <c r="D935" s="97">
        <v>35</v>
      </c>
      <c r="E935" s="107">
        <v>247</v>
      </c>
    </row>
    <row r="936" spans="1:5">
      <c r="A936" s="362"/>
      <c r="B936" s="365"/>
      <c r="C936" s="368"/>
      <c r="D936" s="98">
        <v>36</v>
      </c>
      <c r="E936" s="108">
        <v>209</v>
      </c>
    </row>
    <row r="937" spans="1:5" ht="15">
      <c r="A937" s="362"/>
      <c r="B937" s="365"/>
      <c r="C937" s="368"/>
      <c r="D937" s="97">
        <v>37</v>
      </c>
      <c r="E937" s="107">
        <v>223</v>
      </c>
    </row>
    <row r="938" spans="1:5">
      <c r="A938" s="362"/>
      <c r="B938" s="365"/>
      <c r="C938" s="368"/>
      <c r="D938" s="98">
        <v>38</v>
      </c>
      <c r="E938" s="108">
        <v>214</v>
      </c>
    </row>
    <row r="939" spans="1:5" ht="15">
      <c r="A939" s="362"/>
      <c r="B939" s="365"/>
      <c r="C939" s="368"/>
      <c r="D939" s="97">
        <v>39</v>
      </c>
      <c r="E939" s="107">
        <v>230</v>
      </c>
    </row>
    <row r="940" spans="1:5" ht="28">
      <c r="A940" s="362"/>
      <c r="B940" s="365"/>
      <c r="C940" s="368"/>
      <c r="D940" s="98" t="s">
        <v>11</v>
      </c>
      <c r="E940" s="108">
        <v>1123</v>
      </c>
    </row>
    <row r="941" spans="1:5" ht="15">
      <c r="A941" s="362"/>
      <c r="B941" s="365"/>
      <c r="C941" s="368" t="s">
        <v>19</v>
      </c>
      <c r="D941" s="97">
        <v>40</v>
      </c>
      <c r="E941" s="107">
        <v>239</v>
      </c>
    </row>
    <row r="942" spans="1:5">
      <c r="A942" s="362"/>
      <c r="B942" s="365"/>
      <c r="C942" s="368"/>
      <c r="D942" s="98">
        <v>41</v>
      </c>
      <c r="E942" s="108">
        <v>182</v>
      </c>
    </row>
    <row r="943" spans="1:5" ht="15">
      <c r="A943" s="362"/>
      <c r="B943" s="365"/>
      <c r="C943" s="368"/>
      <c r="D943" s="97">
        <v>42</v>
      </c>
      <c r="E943" s="107">
        <v>206</v>
      </c>
    </row>
    <row r="944" spans="1:5">
      <c r="A944" s="362"/>
      <c r="B944" s="365"/>
      <c r="C944" s="368"/>
      <c r="D944" s="98">
        <v>43</v>
      </c>
      <c r="E944" s="108">
        <v>177</v>
      </c>
    </row>
    <row r="945" spans="1:5" ht="15">
      <c r="A945" s="362"/>
      <c r="B945" s="365"/>
      <c r="C945" s="368"/>
      <c r="D945" s="97">
        <v>44</v>
      </c>
      <c r="E945" s="107">
        <v>171</v>
      </c>
    </row>
    <row r="946" spans="1:5" ht="28">
      <c r="A946" s="362"/>
      <c r="B946" s="365"/>
      <c r="C946" s="368"/>
      <c r="D946" s="98" t="s">
        <v>11</v>
      </c>
      <c r="E946" s="108">
        <v>975</v>
      </c>
    </row>
    <row r="947" spans="1:5" ht="15">
      <c r="A947" s="362"/>
      <c r="B947" s="365"/>
      <c r="C947" s="368" t="s">
        <v>20</v>
      </c>
      <c r="D947" s="97">
        <v>45</v>
      </c>
      <c r="E947" s="107">
        <v>158</v>
      </c>
    </row>
    <row r="948" spans="1:5">
      <c r="A948" s="362"/>
      <c r="B948" s="365"/>
      <c r="C948" s="368"/>
      <c r="D948" s="98">
        <v>46</v>
      </c>
      <c r="E948" s="108">
        <v>133</v>
      </c>
    </row>
    <row r="949" spans="1:5" ht="15">
      <c r="A949" s="362"/>
      <c r="B949" s="365"/>
      <c r="C949" s="368"/>
      <c r="D949" s="97">
        <v>47</v>
      </c>
      <c r="E949" s="107">
        <v>168</v>
      </c>
    </row>
    <row r="950" spans="1:5">
      <c r="A950" s="362"/>
      <c r="B950" s="365"/>
      <c r="C950" s="368"/>
      <c r="D950" s="98">
        <v>48</v>
      </c>
      <c r="E950" s="108">
        <v>169</v>
      </c>
    </row>
    <row r="951" spans="1:5" ht="15">
      <c r="A951" s="362"/>
      <c r="B951" s="365"/>
      <c r="C951" s="368"/>
      <c r="D951" s="97">
        <v>49</v>
      </c>
      <c r="E951" s="107">
        <v>150</v>
      </c>
    </row>
    <row r="952" spans="1:5" ht="28">
      <c r="A952" s="362"/>
      <c r="B952" s="365"/>
      <c r="C952" s="368"/>
      <c r="D952" s="98" t="s">
        <v>11</v>
      </c>
      <c r="E952" s="108">
        <v>778</v>
      </c>
    </row>
    <row r="953" spans="1:5" ht="15">
      <c r="A953" s="362"/>
      <c r="B953" s="365"/>
      <c r="C953" s="368" t="s">
        <v>21</v>
      </c>
      <c r="D953" s="97">
        <v>50</v>
      </c>
      <c r="E953" s="107">
        <v>160</v>
      </c>
    </row>
    <row r="954" spans="1:5">
      <c r="A954" s="362"/>
      <c r="B954" s="365"/>
      <c r="C954" s="368"/>
      <c r="D954" s="98">
        <v>51</v>
      </c>
      <c r="E954" s="108">
        <v>129</v>
      </c>
    </row>
    <row r="955" spans="1:5" ht="15">
      <c r="A955" s="362"/>
      <c r="B955" s="365"/>
      <c r="C955" s="368"/>
      <c r="D955" s="97">
        <v>52</v>
      </c>
      <c r="E955" s="107">
        <v>131</v>
      </c>
    </row>
    <row r="956" spans="1:5">
      <c r="A956" s="362"/>
      <c r="B956" s="365"/>
      <c r="C956" s="368"/>
      <c r="D956" s="98">
        <v>53</v>
      </c>
      <c r="E956" s="108">
        <v>127</v>
      </c>
    </row>
    <row r="957" spans="1:5" ht="15">
      <c r="A957" s="362"/>
      <c r="B957" s="365"/>
      <c r="C957" s="368"/>
      <c r="D957" s="97">
        <v>54</v>
      </c>
      <c r="E957" s="107">
        <v>126</v>
      </c>
    </row>
    <row r="958" spans="1:5" ht="28">
      <c r="A958" s="362"/>
      <c r="B958" s="365"/>
      <c r="C958" s="368"/>
      <c r="D958" s="98" t="s">
        <v>11</v>
      </c>
      <c r="E958" s="108">
        <v>673</v>
      </c>
    </row>
    <row r="959" spans="1:5" ht="15">
      <c r="A959" s="362"/>
      <c r="B959" s="365"/>
      <c r="C959" s="368" t="s">
        <v>22</v>
      </c>
      <c r="D959" s="97">
        <v>55</v>
      </c>
      <c r="E959" s="107">
        <v>143</v>
      </c>
    </row>
    <row r="960" spans="1:5">
      <c r="A960" s="362"/>
      <c r="B960" s="365"/>
      <c r="C960" s="368"/>
      <c r="D960" s="98">
        <v>56</v>
      </c>
      <c r="E960" s="108">
        <v>108</v>
      </c>
    </row>
    <row r="961" spans="1:5" ht="15">
      <c r="A961" s="362"/>
      <c r="B961" s="365"/>
      <c r="C961" s="368"/>
      <c r="D961" s="97">
        <v>57</v>
      </c>
      <c r="E961" s="107">
        <v>89</v>
      </c>
    </row>
    <row r="962" spans="1:5">
      <c r="A962" s="362"/>
      <c r="B962" s="365"/>
      <c r="C962" s="368"/>
      <c r="D962" s="98">
        <v>58</v>
      </c>
      <c r="E962" s="108">
        <v>101</v>
      </c>
    </row>
    <row r="963" spans="1:5" ht="15">
      <c r="A963" s="362"/>
      <c r="B963" s="365"/>
      <c r="C963" s="368"/>
      <c r="D963" s="97">
        <v>59</v>
      </c>
      <c r="E963" s="107">
        <v>105</v>
      </c>
    </row>
    <row r="964" spans="1:5" ht="28">
      <c r="A964" s="362"/>
      <c r="B964" s="365"/>
      <c r="C964" s="368"/>
      <c r="D964" s="98" t="s">
        <v>11</v>
      </c>
      <c r="E964" s="108">
        <v>546</v>
      </c>
    </row>
    <row r="965" spans="1:5" ht="15">
      <c r="A965" s="362"/>
      <c r="B965" s="365"/>
      <c r="C965" s="368" t="s">
        <v>23</v>
      </c>
      <c r="D965" s="97">
        <v>60</v>
      </c>
      <c r="E965" s="107">
        <v>109</v>
      </c>
    </row>
    <row r="966" spans="1:5">
      <c r="A966" s="362"/>
      <c r="B966" s="365"/>
      <c r="C966" s="368"/>
      <c r="D966" s="98">
        <v>61</v>
      </c>
      <c r="E966" s="108">
        <v>99</v>
      </c>
    </row>
    <row r="967" spans="1:5" ht="15">
      <c r="A967" s="362"/>
      <c r="B967" s="365"/>
      <c r="C967" s="368"/>
      <c r="D967" s="97">
        <v>62</v>
      </c>
      <c r="E967" s="107">
        <v>71</v>
      </c>
    </row>
    <row r="968" spans="1:5">
      <c r="A968" s="362"/>
      <c r="B968" s="365"/>
      <c r="C968" s="368"/>
      <c r="D968" s="98">
        <v>63</v>
      </c>
      <c r="E968" s="108">
        <v>63</v>
      </c>
    </row>
    <row r="969" spans="1:5" ht="15">
      <c r="A969" s="362"/>
      <c r="B969" s="365"/>
      <c r="C969" s="368"/>
      <c r="D969" s="97">
        <v>64</v>
      </c>
      <c r="E969" s="107">
        <v>49</v>
      </c>
    </row>
    <row r="970" spans="1:5" ht="28">
      <c r="A970" s="362"/>
      <c r="B970" s="365"/>
      <c r="C970" s="368"/>
      <c r="D970" s="98" t="s">
        <v>11</v>
      </c>
      <c r="E970" s="108">
        <v>391</v>
      </c>
    </row>
    <row r="971" spans="1:5" ht="15">
      <c r="A971" s="362"/>
      <c r="B971" s="365"/>
      <c r="C971" s="368" t="s">
        <v>24</v>
      </c>
      <c r="D971" s="97">
        <v>65</v>
      </c>
      <c r="E971" s="107">
        <v>56</v>
      </c>
    </row>
    <row r="972" spans="1:5">
      <c r="A972" s="362"/>
      <c r="B972" s="365"/>
      <c r="C972" s="368"/>
      <c r="D972" s="98">
        <v>66</v>
      </c>
      <c r="E972" s="108">
        <v>47</v>
      </c>
    </row>
    <row r="973" spans="1:5" ht="15">
      <c r="A973" s="362"/>
      <c r="B973" s="365"/>
      <c r="C973" s="368"/>
      <c r="D973" s="97">
        <v>67</v>
      </c>
      <c r="E973" s="107">
        <v>64</v>
      </c>
    </row>
    <row r="974" spans="1:5">
      <c r="A974" s="362"/>
      <c r="B974" s="365"/>
      <c r="C974" s="368"/>
      <c r="D974" s="98">
        <v>68</v>
      </c>
      <c r="E974" s="108">
        <v>45</v>
      </c>
    </row>
    <row r="975" spans="1:5" ht="15">
      <c r="A975" s="362"/>
      <c r="B975" s="365"/>
      <c r="C975" s="368"/>
      <c r="D975" s="97">
        <v>69</v>
      </c>
      <c r="E975" s="107">
        <v>28</v>
      </c>
    </row>
    <row r="976" spans="1:5" ht="28">
      <c r="A976" s="362"/>
      <c r="B976" s="365"/>
      <c r="C976" s="368"/>
      <c r="D976" s="98" t="s">
        <v>11</v>
      </c>
      <c r="E976" s="108">
        <v>240</v>
      </c>
    </row>
    <row r="977" spans="1:5" ht="15">
      <c r="A977" s="362"/>
      <c r="B977" s="365"/>
      <c r="C977" s="368" t="s">
        <v>25</v>
      </c>
      <c r="D977" s="97">
        <v>70</v>
      </c>
      <c r="E977" s="107">
        <v>34</v>
      </c>
    </row>
    <row r="978" spans="1:5">
      <c r="A978" s="362"/>
      <c r="B978" s="365"/>
      <c r="C978" s="368"/>
      <c r="D978" s="98">
        <v>71</v>
      </c>
      <c r="E978" s="108">
        <v>38</v>
      </c>
    </row>
    <row r="979" spans="1:5" ht="15">
      <c r="A979" s="362"/>
      <c r="B979" s="365"/>
      <c r="C979" s="368"/>
      <c r="D979" s="97">
        <v>72</v>
      </c>
      <c r="E979" s="107">
        <v>26</v>
      </c>
    </row>
    <row r="980" spans="1:5">
      <c r="A980" s="362"/>
      <c r="B980" s="365"/>
      <c r="C980" s="368"/>
      <c r="D980" s="98">
        <v>73</v>
      </c>
      <c r="E980" s="108">
        <v>22</v>
      </c>
    </row>
    <row r="981" spans="1:5" ht="15">
      <c r="A981" s="362"/>
      <c r="B981" s="365"/>
      <c r="C981" s="368"/>
      <c r="D981" s="97">
        <v>74</v>
      </c>
      <c r="E981" s="107">
        <v>37</v>
      </c>
    </row>
    <row r="982" spans="1:5" ht="28">
      <c r="A982" s="362"/>
      <c r="B982" s="365"/>
      <c r="C982" s="368"/>
      <c r="D982" s="98" t="s">
        <v>11</v>
      </c>
      <c r="E982" s="108">
        <v>157</v>
      </c>
    </row>
    <row r="983" spans="1:5" ht="15">
      <c r="A983" s="362"/>
      <c r="B983" s="365"/>
      <c r="C983" s="368" t="s">
        <v>26</v>
      </c>
      <c r="D983" s="97">
        <v>75</v>
      </c>
      <c r="E983" s="107">
        <v>26</v>
      </c>
    </row>
    <row r="984" spans="1:5">
      <c r="A984" s="362"/>
      <c r="B984" s="365"/>
      <c r="C984" s="368"/>
      <c r="D984" s="98">
        <v>76</v>
      </c>
      <c r="E984" s="108">
        <v>31</v>
      </c>
    </row>
    <row r="985" spans="1:5" ht="15">
      <c r="A985" s="362"/>
      <c r="B985" s="365"/>
      <c r="C985" s="368"/>
      <c r="D985" s="97">
        <v>77</v>
      </c>
      <c r="E985" s="107">
        <v>25</v>
      </c>
    </row>
    <row r="986" spans="1:5">
      <c r="A986" s="362"/>
      <c r="B986" s="365"/>
      <c r="C986" s="368"/>
      <c r="D986" s="98">
        <v>78</v>
      </c>
      <c r="E986" s="108">
        <v>19</v>
      </c>
    </row>
    <row r="987" spans="1:5" ht="15">
      <c r="A987" s="362"/>
      <c r="B987" s="365"/>
      <c r="C987" s="368"/>
      <c r="D987" s="97">
        <v>79</v>
      </c>
      <c r="E987" s="107">
        <v>22</v>
      </c>
    </row>
    <row r="988" spans="1:5" ht="28">
      <c r="A988" s="362"/>
      <c r="B988" s="365"/>
      <c r="C988" s="368"/>
      <c r="D988" s="98" t="s">
        <v>11</v>
      </c>
      <c r="E988" s="108">
        <v>123</v>
      </c>
    </row>
    <row r="989" spans="1:5" ht="15">
      <c r="A989" s="362"/>
      <c r="B989" s="365"/>
      <c r="C989" s="368" t="s">
        <v>27</v>
      </c>
      <c r="D989" s="97">
        <v>80</v>
      </c>
      <c r="E989" s="107">
        <v>16</v>
      </c>
    </row>
    <row r="990" spans="1:5">
      <c r="A990" s="362"/>
      <c r="B990" s="365"/>
      <c r="C990" s="368"/>
      <c r="D990" s="98">
        <v>81</v>
      </c>
      <c r="E990" s="108">
        <v>16</v>
      </c>
    </row>
    <row r="991" spans="1:5" ht="15">
      <c r="A991" s="362"/>
      <c r="B991" s="365"/>
      <c r="C991" s="368"/>
      <c r="D991" s="97">
        <v>82</v>
      </c>
      <c r="E991" s="107">
        <v>17</v>
      </c>
    </row>
    <row r="992" spans="1:5">
      <c r="A992" s="362"/>
      <c r="B992" s="365"/>
      <c r="C992" s="368"/>
      <c r="D992" s="98">
        <v>83</v>
      </c>
      <c r="E992" s="108">
        <v>18</v>
      </c>
    </row>
    <row r="993" spans="1:5" ht="15">
      <c r="A993" s="362"/>
      <c r="B993" s="365"/>
      <c r="C993" s="368"/>
      <c r="D993" s="97">
        <v>84</v>
      </c>
      <c r="E993" s="107">
        <v>14</v>
      </c>
    </row>
    <row r="994" spans="1:5" ht="28">
      <c r="A994" s="362"/>
      <c r="B994" s="365"/>
      <c r="C994" s="368"/>
      <c r="D994" s="98" t="s">
        <v>11</v>
      </c>
      <c r="E994" s="108">
        <v>81</v>
      </c>
    </row>
    <row r="995" spans="1:5" ht="15">
      <c r="A995" s="362"/>
      <c r="B995" s="365"/>
      <c r="C995" s="368" t="s">
        <v>28</v>
      </c>
      <c r="D995" s="97">
        <v>85</v>
      </c>
      <c r="E995" s="107">
        <v>12</v>
      </c>
    </row>
    <row r="996" spans="1:5">
      <c r="A996" s="362"/>
      <c r="B996" s="365"/>
      <c r="C996" s="368"/>
      <c r="D996" s="98">
        <v>86</v>
      </c>
      <c r="E996" s="108">
        <v>11</v>
      </c>
    </row>
    <row r="997" spans="1:5" ht="15">
      <c r="A997" s="362"/>
      <c r="B997" s="365"/>
      <c r="C997" s="368"/>
      <c r="D997" s="97">
        <v>87</v>
      </c>
      <c r="E997" s="107">
        <v>5</v>
      </c>
    </row>
    <row r="998" spans="1:5">
      <c r="A998" s="362"/>
      <c r="B998" s="365"/>
      <c r="C998" s="368"/>
      <c r="D998" s="98">
        <v>88</v>
      </c>
      <c r="E998" s="108">
        <v>7</v>
      </c>
    </row>
    <row r="999" spans="1:5" ht="15">
      <c r="A999" s="362"/>
      <c r="B999" s="365"/>
      <c r="C999" s="368"/>
      <c r="D999" s="97">
        <v>89</v>
      </c>
      <c r="E999" s="107">
        <v>6</v>
      </c>
    </row>
    <row r="1000" spans="1:5" ht="28">
      <c r="A1000" s="362"/>
      <c r="B1000" s="365"/>
      <c r="C1000" s="368"/>
      <c r="D1000" s="98" t="s">
        <v>11</v>
      </c>
      <c r="E1000" s="108">
        <v>41</v>
      </c>
    </row>
    <row r="1001" spans="1:5" ht="15">
      <c r="A1001" s="362"/>
      <c r="B1001" s="365"/>
      <c r="C1001" s="368" t="s">
        <v>29</v>
      </c>
      <c r="D1001" s="97">
        <v>90</v>
      </c>
      <c r="E1001" s="107">
        <v>6</v>
      </c>
    </row>
    <row r="1002" spans="1:5">
      <c r="A1002" s="362"/>
      <c r="B1002" s="365"/>
      <c r="C1002" s="368"/>
      <c r="D1002" s="98">
        <v>91</v>
      </c>
      <c r="E1002" s="108">
        <v>3</v>
      </c>
    </row>
    <row r="1003" spans="1:5" ht="15">
      <c r="A1003" s="362"/>
      <c r="B1003" s="365"/>
      <c r="C1003" s="368"/>
      <c r="D1003" s="97">
        <v>93</v>
      </c>
      <c r="E1003" s="107">
        <v>2</v>
      </c>
    </row>
    <row r="1004" spans="1:5">
      <c r="A1004" s="362"/>
      <c r="B1004" s="365"/>
      <c r="C1004" s="368"/>
      <c r="D1004" s="98">
        <v>94</v>
      </c>
      <c r="E1004" s="108">
        <v>3</v>
      </c>
    </row>
    <row r="1005" spans="1:5" ht="28">
      <c r="A1005" s="362"/>
      <c r="B1005" s="365"/>
      <c r="C1005" s="368"/>
      <c r="D1005" s="97" t="s">
        <v>11</v>
      </c>
      <c r="E1005" s="107">
        <v>14</v>
      </c>
    </row>
    <row r="1006" spans="1:5">
      <c r="A1006" s="362"/>
      <c r="B1006" s="365"/>
      <c r="C1006" s="368" t="s">
        <v>30</v>
      </c>
      <c r="D1006" s="98">
        <v>95</v>
      </c>
      <c r="E1006" s="108">
        <v>4</v>
      </c>
    </row>
    <row r="1007" spans="1:5" ht="15">
      <c r="A1007" s="362"/>
      <c r="B1007" s="365"/>
      <c r="C1007" s="368"/>
      <c r="D1007" s="97">
        <v>96</v>
      </c>
      <c r="E1007" s="107">
        <v>2</v>
      </c>
    </row>
    <row r="1008" spans="1:5">
      <c r="A1008" s="362"/>
      <c r="B1008" s="365"/>
      <c r="C1008" s="368"/>
      <c r="D1008" s="98">
        <v>97</v>
      </c>
      <c r="E1008" s="108">
        <v>1</v>
      </c>
    </row>
    <row r="1009" spans="1:5" ht="15">
      <c r="A1009" s="362"/>
      <c r="B1009" s="365"/>
      <c r="C1009" s="368"/>
      <c r="D1009" s="97">
        <v>98</v>
      </c>
      <c r="E1009" s="107">
        <v>3</v>
      </c>
    </row>
    <row r="1010" spans="1:5">
      <c r="A1010" s="362"/>
      <c r="B1010" s="365"/>
      <c r="C1010" s="368"/>
      <c r="D1010" s="98">
        <v>99</v>
      </c>
      <c r="E1010" s="108">
        <v>1</v>
      </c>
    </row>
    <row r="1011" spans="1:5" ht="28">
      <c r="A1011" s="362"/>
      <c r="B1011" s="365"/>
      <c r="C1011" s="368"/>
      <c r="D1011" s="97" t="s">
        <v>11</v>
      </c>
      <c r="E1011" s="107">
        <v>11</v>
      </c>
    </row>
    <row r="1012" spans="1:5">
      <c r="A1012" s="362"/>
      <c r="B1012" s="365"/>
      <c r="C1012" s="368" t="s">
        <v>31</v>
      </c>
      <c r="D1012" s="98">
        <v>101</v>
      </c>
      <c r="E1012" s="108">
        <v>1</v>
      </c>
    </row>
    <row r="1013" spans="1:5" ht="15">
      <c r="A1013" s="362"/>
      <c r="B1013" s="365"/>
      <c r="C1013" s="368"/>
      <c r="D1013" s="97">
        <v>103</v>
      </c>
      <c r="E1013" s="107">
        <v>1</v>
      </c>
    </row>
    <row r="1014" spans="1:5" ht="28">
      <c r="A1014" s="362"/>
      <c r="B1014" s="365"/>
      <c r="C1014" s="368"/>
      <c r="D1014" s="98" t="s">
        <v>11</v>
      </c>
      <c r="E1014" s="108">
        <v>2</v>
      </c>
    </row>
    <row r="1015" spans="1:5" ht="15">
      <c r="A1015" s="362"/>
      <c r="B1015" s="365" t="s">
        <v>108</v>
      </c>
      <c r="C1015" s="368" t="s">
        <v>10</v>
      </c>
      <c r="D1015" s="97">
        <v>0</v>
      </c>
      <c r="E1015" s="107">
        <v>48</v>
      </c>
    </row>
    <row r="1016" spans="1:5">
      <c r="A1016" s="362"/>
      <c r="B1016" s="365"/>
      <c r="C1016" s="368"/>
      <c r="D1016" s="98">
        <v>1</v>
      </c>
      <c r="E1016" s="108">
        <v>60</v>
      </c>
    </row>
    <row r="1017" spans="1:5" ht="15">
      <c r="A1017" s="362"/>
      <c r="B1017" s="365"/>
      <c r="C1017" s="368"/>
      <c r="D1017" s="97">
        <v>2</v>
      </c>
      <c r="E1017" s="107">
        <v>59</v>
      </c>
    </row>
    <row r="1018" spans="1:5">
      <c r="A1018" s="362"/>
      <c r="B1018" s="365"/>
      <c r="C1018" s="368"/>
      <c r="D1018" s="98">
        <v>3</v>
      </c>
      <c r="E1018" s="108">
        <v>42</v>
      </c>
    </row>
    <row r="1019" spans="1:5" ht="15">
      <c r="A1019" s="362"/>
      <c r="B1019" s="365"/>
      <c r="C1019" s="368"/>
      <c r="D1019" s="97">
        <v>4</v>
      </c>
      <c r="E1019" s="107">
        <v>65</v>
      </c>
    </row>
    <row r="1020" spans="1:5" ht="28">
      <c r="A1020" s="362"/>
      <c r="B1020" s="365"/>
      <c r="C1020" s="368"/>
      <c r="D1020" s="98" t="s">
        <v>11</v>
      </c>
      <c r="E1020" s="108">
        <v>274</v>
      </c>
    </row>
    <row r="1021" spans="1:5" ht="15">
      <c r="A1021" s="362"/>
      <c r="B1021" s="365"/>
      <c r="C1021" s="368" t="s">
        <v>12</v>
      </c>
      <c r="D1021" s="97">
        <v>5</v>
      </c>
      <c r="E1021" s="107">
        <v>56</v>
      </c>
    </row>
    <row r="1022" spans="1:5">
      <c r="A1022" s="362"/>
      <c r="B1022" s="365"/>
      <c r="C1022" s="368"/>
      <c r="D1022" s="98">
        <v>6</v>
      </c>
      <c r="E1022" s="108">
        <v>63</v>
      </c>
    </row>
    <row r="1023" spans="1:5" ht="15">
      <c r="A1023" s="362"/>
      <c r="B1023" s="365"/>
      <c r="C1023" s="368"/>
      <c r="D1023" s="97">
        <v>7</v>
      </c>
      <c r="E1023" s="107">
        <v>55</v>
      </c>
    </row>
    <row r="1024" spans="1:5">
      <c r="A1024" s="362"/>
      <c r="B1024" s="365"/>
      <c r="C1024" s="368"/>
      <c r="D1024" s="98">
        <v>8</v>
      </c>
      <c r="E1024" s="108">
        <v>55</v>
      </c>
    </row>
    <row r="1025" spans="1:5" ht="15">
      <c r="A1025" s="362"/>
      <c r="B1025" s="365"/>
      <c r="C1025" s="368"/>
      <c r="D1025" s="97">
        <v>9</v>
      </c>
      <c r="E1025" s="107">
        <v>56</v>
      </c>
    </row>
    <row r="1026" spans="1:5" ht="28">
      <c r="A1026" s="362"/>
      <c r="B1026" s="365"/>
      <c r="C1026" s="368"/>
      <c r="D1026" s="98" t="s">
        <v>11</v>
      </c>
      <c r="E1026" s="108">
        <v>285</v>
      </c>
    </row>
    <row r="1027" spans="1:5" ht="15">
      <c r="A1027" s="362"/>
      <c r="B1027" s="365"/>
      <c r="C1027" s="368" t="s">
        <v>13</v>
      </c>
      <c r="D1027" s="97">
        <v>10</v>
      </c>
      <c r="E1027" s="107">
        <v>69</v>
      </c>
    </row>
    <row r="1028" spans="1:5">
      <c r="A1028" s="362"/>
      <c r="B1028" s="365"/>
      <c r="C1028" s="368"/>
      <c r="D1028" s="98">
        <v>11</v>
      </c>
      <c r="E1028" s="108">
        <v>57</v>
      </c>
    </row>
    <row r="1029" spans="1:5" ht="15">
      <c r="A1029" s="362"/>
      <c r="B1029" s="365"/>
      <c r="C1029" s="368"/>
      <c r="D1029" s="97">
        <v>12</v>
      </c>
      <c r="E1029" s="107">
        <v>70</v>
      </c>
    </row>
    <row r="1030" spans="1:5">
      <c r="A1030" s="362"/>
      <c r="B1030" s="365"/>
      <c r="C1030" s="368"/>
      <c r="D1030" s="98">
        <v>13</v>
      </c>
      <c r="E1030" s="108">
        <v>76</v>
      </c>
    </row>
    <row r="1031" spans="1:5" ht="15">
      <c r="A1031" s="362"/>
      <c r="B1031" s="365"/>
      <c r="C1031" s="368"/>
      <c r="D1031" s="97">
        <v>14</v>
      </c>
      <c r="E1031" s="107">
        <v>65</v>
      </c>
    </row>
    <row r="1032" spans="1:5" ht="28">
      <c r="A1032" s="362"/>
      <c r="B1032" s="365"/>
      <c r="C1032" s="368"/>
      <c r="D1032" s="98" t="s">
        <v>11</v>
      </c>
      <c r="E1032" s="108">
        <v>337</v>
      </c>
    </row>
    <row r="1033" spans="1:5" ht="15">
      <c r="A1033" s="362"/>
      <c r="B1033" s="365"/>
      <c r="C1033" s="368" t="s">
        <v>14</v>
      </c>
      <c r="D1033" s="97">
        <v>15</v>
      </c>
      <c r="E1033" s="107">
        <v>51</v>
      </c>
    </row>
    <row r="1034" spans="1:5">
      <c r="A1034" s="362"/>
      <c r="B1034" s="365"/>
      <c r="C1034" s="368"/>
      <c r="D1034" s="98">
        <v>16</v>
      </c>
      <c r="E1034" s="108">
        <v>66</v>
      </c>
    </row>
    <row r="1035" spans="1:5" ht="15">
      <c r="A1035" s="362"/>
      <c r="B1035" s="365"/>
      <c r="C1035" s="368"/>
      <c r="D1035" s="97">
        <v>17</v>
      </c>
      <c r="E1035" s="107">
        <v>73</v>
      </c>
    </row>
    <row r="1036" spans="1:5">
      <c r="A1036" s="362"/>
      <c r="B1036" s="365"/>
      <c r="C1036" s="368"/>
      <c r="D1036" s="98">
        <v>18</v>
      </c>
      <c r="E1036" s="108">
        <v>61</v>
      </c>
    </row>
    <row r="1037" spans="1:5" ht="15">
      <c r="A1037" s="362"/>
      <c r="B1037" s="365"/>
      <c r="C1037" s="368"/>
      <c r="D1037" s="97">
        <v>19</v>
      </c>
      <c r="E1037" s="107">
        <v>52</v>
      </c>
    </row>
    <row r="1038" spans="1:5" ht="28">
      <c r="A1038" s="362"/>
      <c r="B1038" s="365"/>
      <c r="C1038" s="368"/>
      <c r="D1038" s="98" t="s">
        <v>11</v>
      </c>
      <c r="E1038" s="108">
        <v>303</v>
      </c>
    </row>
    <row r="1039" spans="1:5" ht="15">
      <c r="A1039" s="362"/>
      <c r="B1039" s="365"/>
      <c r="C1039" s="368" t="s">
        <v>15</v>
      </c>
      <c r="D1039" s="97">
        <v>20</v>
      </c>
      <c r="E1039" s="107">
        <v>55</v>
      </c>
    </row>
    <row r="1040" spans="1:5">
      <c r="A1040" s="362"/>
      <c r="B1040" s="365"/>
      <c r="C1040" s="368"/>
      <c r="D1040" s="98">
        <v>21</v>
      </c>
      <c r="E1040" s="108">
        <v>47</v>
      </c>
    </row>
    <row r="1041" spans="1:5" ht="15">
      <c r="A1041" s="362"/>
      <c r="B1041" s="365"/>
      <c r="C1041" s="368"/>
      <c r="D1041" s="97">
        <v>22</v>
      </c>
      <c r="E1041" s="107">
        <v>47</v>
      </c>
    </row>
    <row r="1042" spans="1:5">
      <c r="A1042" s="362"/>
      <c r="B1042" s="365"/>
      <c r="C1042" s="368"/>
      <c r="D1042" s="98">
        <v>23</v>
      </c>
      <c r="E1042" s="108">
        <v>51</v>
      </c>
    </row>
    <row r="1043" spans="1:5" ht="15">
      <c r="A1043" s="362"/>
      <c r="B1043" s="365"/>
      <c r="C1043" s="368"/>
      <c r="D1043" s="97">
        <v>24</v>
      </c>
      <c r="E1043" s="107">
        <v>53</v>
      </c>
    </row>
    <row r="1044" spans="1:5" ht="28">
      <c r="A1044" s="362"/>
      <c r="B1044" s="365"/>
      <c r="C1044" s="368"/>
      <c r="D1044" s="98" t="s">
        <v>11</v>
      </c>
      <c r="E1044" s="108">
        <v>253</v>
      </c>
    </row>
    <row r="1045" spans="1:5" ht="15">
      <c r="A1045" s="362"/>
      <c r="B1045" s="365"/>
      <c r="C1045" s="368" t="s">
        <v>16</v>
      </c>
      <c r="D1045" s="97">
        <v>25</v>
      </c>
      <c r="E1045" s="107">
        <v>46</v>
      </c>
    </row>
    <row r="1046" spans="1:5">
      <c r="A1046" s="362"/>
      <c r="B1046" s="365"/>
      <c r="C1046" s="368"/>
      <c r="D1046" s="98">
        <v>26</v>
      </c>
      <c r="E1046" s="108">
        <v>52</v>
      </c>
    </row>
    <row r="1047" spans="1:5" ht="15">
      <c r="A1047" s="362"/>
      <c r="B1047" s="365"/>
      <c r="C1047" s="368"/>
      <c r="D1047" s="97">
        <v>27</v>
      </c>
      <c r="E1047" s="107">
        <v>57</v>
      </c>
    </row>
    <row r="1048" spans="1:5">
      <c r="A1048" s="362"/>
      <c r="B1048" s="365"/>
      <c r="C1048" s="368"/>
      <c r="D1048" s="98">
        <v>28</v>
      </c>
      <c r="E1048" s="108">
        <v>42</v>
      </c>
    </row>
    <row r="1049" spans="1:5" ht="15">
      <c r="A1049" s="362"/>
      <c r="B1049" s="365"/>
      <c r="C1049" s="368"/>
      <c r="D1049" s="97">
        <v>29</v>
      </c>
      <c r="E1049" s="107">
        <v>47</v>
      </c>
    </row>
    <row r="1050" spans="1:5" ht="28">
      <c r="A1050" s="362"/>
      <c r="B1050" s="365"/>
      <c r="C1050" s="368"/>
      <c r="D1050" s="98" t="s">
        <v>11</v>
      </c>
      <c r="E1050" s="108">
        <v>244</v>
      </c>
    </row>
    <row r="1051" spans="1:5" ht="15">
      <c r="A1051" s="362"/>
      <c r="B1051" s="365"/>
      <c r="C1051" s="368" t="s">
        <v>17</v>
      </c>
      <c r="D1051" s="97">
        <v>30</v>
      </c>
      <c r="E1051" s="107">
        <v>39</v>
      </c>
    </row>
    <row r="1052" spans="1:5">
      <c r="A1052" s="362"/>
      <c r="B1052" s="365"/>
      <c r="C1052" s="368"/>
      <c r="D1052" s="98">
        <v>31</v>
      </c>
      <c r="E1052" s="108">
        <v>34</v>
      </c>
    </row>
    <row r="1053" spans="1:5" ht="15">
      <c r="A1053" s="362"/>
      <c r="B1053" s="365"/>
      <c r="C1053" s="368"/>
      <c r="D1053" s="97">
        <v>32</v>
      </c>
      <c r="E1053" s="107">
        <v>44</v>
      </c>
    </row>
    <row r="1054" spans="1:5">
      <c r="A1054" s="362"/>
      <c r="B1054" s="365"/>
      <c r="C1054" s="368"/>
      <c r="D1054" s="98">
        <v>33</v>
      </c>
      <c r="E1054" s="108">
        <v>42</v>
      </c>
    </row>
    <row r="1055" spans="1:5" ht="15">
      <c r="A1055" s="362"/>
      <c r="B1055" s="365"/>
      <c r="C1055" s="368"/>
      <c r="D1055" s="97">
        <v>34</v>
      </c>
      <c r="E1055" s="107">
        <v>38</v>
      </c>
    </row>
    <row r="1056" spans="1:5" ht="28">
      <c r="A1056" s="362"/>
      <c r="B1056" s="365"/>
      <c r="C1056" s="368"/>
      <c r="D1056" s="98" t="s">
        <v>11</v>
      </c>
      <c r="E1056" s="108">
        <v>197</v>
      </c>
    </row>
    <row r="1057" spans="1:5" ht="15">
      <c r="A1057" s="362"/>
      <c r="B1057" s="365"/>
      <c r="C1057" s="368" t="s">
        <v>18</v>
      </c>
      <c r="D1057" s="97">
        <v>35</v>
      </c>
      <c r="E1057" s="107">
        <v>51</v>
      </c>
    </row>
    <row r="1058" spans="1:5">
      <c r="A1058" s="362"/>
      <c r="B1058" s="365"/>
      <c r="C1058" s="368"/>
      <c r="D1058" s="98">
        <v>36</v>
      </c>
      <c r="E1058" s="108">
        <v>39</v>
      </c>
    </row>
    <row r="1059" spans="1:5" ht="15">
      <c r="A1059" s="362"/>
      <c r="B1059" s="365"/>
      <c r="C1059" s="368"/>
      <c r="D1059" s="97">
        <v>37</v>
      </c>
      <c r="E1059" s="107">
        <v>35</v>
      </c>
    </row>
    <row r="1060" spans="1:5">
      <c r="A1060" s="362"/>
      <c r="B1060" s="365"/>
      <c r="C1060" s="368"/>
      <c r="D1060" s="98">
        <v>38</v>
      </c>
      <c r="E1060" s="108">
        <v>38</v>
      </c>
    </row>
    <row r="1061" spans="1:5" ht="15">
      <c r="A1061" s="362"/>
      <c r="B1061" s="365"/>
      <c r="C1061" s="368"/>
      <c r="D1061" s="97">
        <v>39</v>
      </c>
      <c r="E1061" s="107">
        <v>23</v>
      </c>
    </row>
    <row r="1062" spans="1:5" ht="28">
      <c r="A1062" s="362"/>
      <c r="B1062" s="365"/>
      <c r="C1062" s="368"/>
      <c r="D1062" s="98" t="s">
        <v>11</v>
      </c>
      <c r="E1062" s="108">
        <v>186</v>
      </c>
    </row>
    <row r="1063" spans="1:5" ht="15">
      <c r="A1063" s="362"/>
      <c r="B1063" s="365"/>
      <c r="C1063" s="368" t="s">
        <v>19</v>
      </c>
      <c r="D1063" s="97">
        <v>40</v>
      </c>
      <c r="E1063" s="107">
        <v>35</v>
      </c>
    </row>
    <row r="1064" spans="1:5">
      <c r="A1064" s="362"/>
      <c r="B1064" s="365"/>
      <c r="C1064" s="368"/>
      <c r="D1064" s="98">
        <v>41</v>
      </c>
      <c r="E1064" s="108">
        <v>34</v>
      </c>
    </row>
    <row r="1065" spans="1:5" ht="15">
      <c r="A1065" s="362"/>
      <c r="B1065" s="365"/>
      <c r="C1065" s="368"/>
      <c r="D1065" s="97">
        <v>42</v>
      </c>
      <c r="E1065" s="107">
        <v>28</v>
      </c>
    </row>
    <row r="1066" spans="1:5">
      <c r="A1066" s="362"/>
      <c r="B1066" s="365"/>
      <c r="C1066" s="368"/>
      <c r="D1066" s="98">
        <v>43</v>
      </c>
      <c r="E1066" s="108">
        <v>26</v>
      </c>
    </row>
    <row r="1067" spans="1:5" ht="15">
      <c r="A1067" s="362"/>
      <c r="B1067" s="365"/>
      <c r="C1067" s="368"/>
      <c r="D1067" s="97">
        <v>44</v>
      </c>
      <c r="E1067" s="107">
        <v>38</v>
      </c>
    </row>
    <row r="1068" spans="1:5" ht="28">
      <c r="A1068" s="362"/>
      <c r="B1068" s="365"/>
      <c r="C1068" s="368"/>
      <c r="D1068" s="98" t="s">
        <v>11</v>
      </c>
      <c r="E1068" s="108">
        <v>161</v>
      </c>
    </row>
    <row r="1069" spans="1:5" ht="15">
      <c r="A1069" s="362"/>
      <c r="B1069" s="365"/>
      <c r="C1069" s="368" t="s">
        <v>20</v>
      </c>
      <c r="D1069" s="97">
        <v>45</v>
      </c>
      <c r="E1069" s="107">
        <v>28</v>
      </c>
    </row>
    <row r="1070" spans="1:5">
      <c r="A1070" s="362"/>
      <c r="B1070" s="365"/>
      <c r="C1070" s="368"/>
      <c r="D1070" s="98">
        <v>46</v>
      </c>
      <c r="E1070" s="108">
        <v>38</v>
      </c>
    </row>
    <row r="1071" spans="1:5" ht="15">
      <c r="A1071" s="362"/>
      <c r="B1071" s="365"/>
      <c r="C1071" s="368"/>
      <c r="D1071" s="97">
        <v>47</v>
      </c>
      <c r="E1071" s="107">
        <v>31</v>
      </c>
    </row>
    <row r="1072" spans="1:5">
      <c r="A1072" s="362"/>
      <c r="B1072" s="365"/>
      <c r="C1072" s="368"/>
      <c r="D1072" s="98">
        <v>48</v>
      </c>
      <c r="E1072" s="108">
        <v>34</v>
      </c>
    </row>
    <row r="1073" spans="1:5" ht="15">
      <c r="A1073" s="362"/>
      <c r="B1073" s="365"/>
      <c r="C1073" s="368"/>
      <c r="D1073" s="97">
        <v>49</v>
      </c>
      <c r="E1073" s="107">
        <v>31</v>
      </c>
    </row>
    <row r="1074" spans="1:5" ht="28">
      <c r="A1074" s="362"/>
      <c r="B1074" s="365"/>
      <c r="C1074" s="368"/>
      <c r="D1074" s="98" t="s">
        <v>11</v>
      </c>
      <c r="E1074" s="108">
        <v>162</v>
      </c>
    </row>
    <row r="1075" spans="1:5" ht="15">
      <c r="A1075" s="362"/>
      <c r="B1075" s="365"/>
      <c r="C1075" s="368" t="s">
        <v>21</v>
      </c>
      <c r="D1075" s="97">
        <v>50</v>
      </c>
      <c r="E1075" s="107">
        <v>39</v>
      </c>
    </row>
    <row r="1076" spans="1:5">
      <c r="A1076" s="362"/>
      <c r="B1076" s="365"/>
      <c r="C1076" s="368"/>
      <c r="D1076" s="98">
        <v>51</v>
      </c>
      <c r="E1076" s="108">
        <v>24</v>
      </c>
    </row>
    <row r="1077" spans="1:5" ht="15">
      <c r="A1077" s="362"/>
      <c r="B1077" s="365"/>
      <c r="C1077" s="368"/>
      <c r="D1077" s="97">
        <v>52</v>
      </c>
      <c r="E1077" s="107">
        <v>35</v>
      </c>
    </row>
    <row r="1078" spans="1:5">
      <c r="A1078" s="362"/>
      <c r="B1078" s="365"/>
      <c r="C1078" s="368"/>
      <c r="D1078" s="98">
        <v>53</v>
      </c>
      <c r="E1078" s="108">
        <v>34</v>
      </c>
    </row>
    <row r="1079" spans="1:5" ht="15">
      <c r="A1079" s="362"/>
      <c r="B1079" s="365"/>
      <c r="C1079" s="368"/>
      <c r="D1079" s="97">
        <v>54</v>
      </c>
      <c r="E1079" s="107">
        <v>22</v>
      </c>
    </row>
    <row r="1080" spans="1:5" ht="28">
      <c r="A1080" s="362"/>
      <c r="B1080" s="365"/>
      <c r="C1080" s="368"/>
      <c r="D1080" s="98" t="s">
        <v>11</v>
      </c>
      <c r="E1080" s="108">
        <v>154</v>
      </c>
    </row>
    <row r="1081" spans="1:5" ht="15">
      <c r="A1081" s="362"/>
      <c r="B1081" s="365"/>
      <c r="C1081" s="368" t="s">
        <v>22</v>
      </c>
      <c r="D1081" s="97">
        <v>55</v>
      </c>
      <c r="E1081" s="107">
        <v>26</v>
      </c>
    </row>
    <row r="1082" spans="1:5">
      <c r="A1082" s="362"/>
      <c r="B1082" s="365"/>
      <c r="C1082" s="368"/>
      <c r="D1082" s="98">
        <v>56</v>
      </c>
      <c r="E1082" s="108">
        <v>30</v>
      </c>
    </row>
    <row r="1083" spans="1:5" ht="15">
      <c r="A1083" s="362"/>
      <c r="B1083" s="365"/>
      <c r="C1083" s="368"/>
      <c r="D1083" s="97">
        <v>57</v>
      </c>
      <c r="E1083" s="107">
        <v>26</v>
      </c>
    </row>
    <row r="1084" spans="1:5">
      <c r="A1084" s="362"/>
      <c r="B1084" s="365"/>
      <c r="C1084" s="368"/>
      <c r="D1084" s="98">
        <v>58</v>
      </c>
      <c r="E1084" s="108">
        <v>13</v>
      </c>
    </row>
    <row r="1085" spans="1:5" ht="15">
      <c r="A1085" s="362"/>
      <c r="B1085" s="365"/>
      <c r="C1085" s="368"/>
      <c r="D1085" s="97">
        <v>59</v>
      </c>
      <c r="E1085" s="107">
        <v>22</v>
      </c>
    </row>
    <row r="1086" spans="1:5" ht="28">
      <c r="A1086" s="362"/>
      <c r="B1086" s="365"/>
      <c r="C1086" s="368"/>
      <c r="D1086" s="98" t="s">
        <v>11</v>
      </c>
      <c r="E1086" s="108">
        <v>117</v>
      </c>
    </row>
    <row r="1087" spans="1:5" ht="15">
      <c r="A1087" s="362"/>
      <c r="B1087" s="365"/>
      <c r="C1087" s="368" t="s">
        <v>23</v>
      </c>
      <c r="D1087" s="97">
        <v>60</v>
      </c>
      <c r="E1087" s="107">
        <v>18</v>
      </c>
    </row>
    <row r="1088" spans="1:5">
      <c r="A1088" s="362"/>
      <c r="B1088" s="365"/>
      <c r="C1088" s="368"/>
      <c r="D1088" s="98">
        <v>61</v>
      </c>
      <c r="E1088" s="108">
        <v>14</v>
      </c>
    </row>
    <row r="1089" spans="1:5" ht="15">
      <c r="A1089" s="362"/>
      <c r="B1089" s="365"/>
      <c r="C1089" s="368"/>
      <c r="D1089" s="97">
        <v>62</v>
      </c>
      <c r="E1089" s="107">
        <v>8</v>
      </c>
    </row>
    <row r="1090" spans="1:5">
      <c r="A1090" s="362"/>
      <c r="B1090" s="365"/>
      <c r="C1090" s="368"/>
      <c r="D1090" s="98">
        <v>63</v>
      </c>
      <c r="E1090" s="108">
        <v>22</v>
      </c>
    </row>
    <row r="1091" spans="1:5" ht="15">
      <c r="A1091" s="362"/>
      <c r="B1091" s="365"/>
      <c r="C1091" s="368"/>
      <c r="D1091" s="97">
        <v>64</v>
      </c>
      <c r="E1091" s="107">
        <v>16</v>
      </c>
    </row>
    <row r="1092" spans="1:5" ht="28">
      <c r="A1092" s="362"/>
      <c r="B1092" s="365"/>
      <c r="C1092" s="368"/>
      <c r="D1092" s="98" t="s">
        <v>11</v>
      </c>
      <c r="E1092" s="108">
        <v>78</v>
      </c>
    </row>
    <row r="1093" spans="1:5" ht="15">
      <c r="A1093" s="362"/>
      <c r="B1093" s="365"/>
      <c r="C1093" s="368" t="s">
        <v>24</v>
      </c>
      <c r="D1093" s="97">
        <v>65</v>
      </c>
      <c r="E1093" s="107">
        <v>10</v>
      </c>
    </row>
    <row r="1094" spans="1:5">
      <c r="A1094" s="362"/>
      <c r="B1094" s="365"/>
      <c r="C1094" s="368"/>
      <c r="D1094" s="98">
        <v>66</v>
      </c>
      <c r="E1094" s="108">
        <v>10</v>
      </c>
    </row>
    <row r="1095" spans="1:5" ht="15">
      <c r="A1095" s="362"/>
      <c r="B1095" s="365"/>
      <c r="C1095" s="368"/>
      <c r="D1095" s="97">
        <v>67</v>
      </c>
      <c r="E1095" s="107">
        <v>13</v>
      </c>
    </row>
    <row r="1096" spans="1:5">
      <c r="A1096" s="362"/>
      <c r="B1096" s="365"/>
      <c r="C1096" s="368"/>
      <c r="D1096" s="98">
        <v>68</v>
      </c>
      <c r="E1096" s="108">
        <v>21</v>
      </c>
    </row>
    <row r="1097" spans="1:5" ht="15">
      <c r="A1097" s="362"/>
      <c r="B1097" s="365"/>
      <c r="C1097" s="368"/>
      <c r="D1097" s="97">
        <v>69</v>
      </c>
      <c r="E1097" s="107">
        <v>11</v>
      </c>
    </row>
    <row r="1098" spans="1:5" ht="28">
      <c r="A1098" s="362"/>
      <c r="B1098" s="365"/>
      <c r="C1098" s="368"/>
      <c r="D1098" s="98" t="s">
        <v>11</v>
      </c>
      <c r="E1098" s="108">
        <v>65</v>
      </c>
    </row>
    <row r="1099" spans="1:5" ht="15">
      <c r="A1099" s="362"/>
      <c r="B1099" s="365"/>
      <c r="C1099" s="368" t="s">
        <v>25</v>
      </c>
      <c r="D1099" s="97">
        <v>70</v>
      </c>
      <c r="E1099" s="107">
        <v>15</v>
      </c>
    </row>
    <row r="1100" spans="1:5">
      <c r="A1100" s="362"/>
      <c r="B1100" s="365"/>
      <c r="C1100" s="368"/>
      <c r="D1100" s="98">
        <v>71</v>
      </c>
      <c r="E1100" s="108">
        <v>7</v>
      </c>
    </row>
    <row r="1101" spans="1:5" ht="15">
      <c r="A1101" s="362"/>
      <c r="B1101" s="365"/>
      <c r="C1101" s="368"/>
      <c r="D1101" s="97">
        <v>72</v>
      </c>
      <c r="E1101" s="107">
        <v>6</v>
      </c>
    </row>
    <row r="1102" spans="1:5">
      <c r="A1102" s="362"/>
      <c r="B1102" s="365"/>
      <c r="C1102" s="368"/>
      <c r="D1102" s="98">
        <v>73</v>
      </c>
      <c r="E1102" s="108">
        <v>7</v>
      </c>
    </row>
    <row r="1103" spans="1:5" ht="15">
      <c r="A1103" s="362"/>
      <c r="B1103" s="365"/>
      <c r="C1103" s="368"/>
      <c r="D1103" s="97">
        <v>74</v>
      </c>
      <c r="E1103" s="107">
        <v>4</v>
      </c>
    </row>
    <row r="1104" spans="1:5" ht="28">
      <c r="A1104" s="362"/>
      <c r="B1104" s="365"/>
      <c r="C1104" s="368"/>
      <c r="D1104" s="98" t="s">
        <v>11</v>
      </c>
      <c r="E1104" s="108">
        <v>39</v>
      </c>
    </row>
    <row r="1105" spans="1:5" ht="15">
      <c r="A1105" s="362"/>
      <c r="B1105" s="365"/>
      <c r="C1105" s="368" t="s">
        <v>26</v>
      </c>
      <c r="D1105" s="97">
        <v>75</v>
      </c>
      <c r="E1105" s="107">
        <v>9</v>
      </c>
    </row>
    <row r="1106" spans="1:5">
      <c r="A1106" s="362"/>
      <c r="B1106" s="365"/>
      <c r="C1106" s="368"/>
      <c r="D1106" s="98">
        <v>76</v>
      </c>
      <c r="E1106" s="108">
        <v>7</v>
      </c>
    </row>
    <row r="1107" spans="1:5" ht="15">
      <c r="A1107" s="362"/>
      <c r="B1107" s="365"/>
      <c r="C1107" s="368"/>
      <c r="D1107" s="97">
        <v>77</v>
      </c>
      <c r="E1107" s="107">
        <v>9</v>
      </c>
    </row>
    <row r="1108" spans="1:5">
      <c r="A1108" s="362"/>
      <c r="B1108" s="365"/>
      <c r="C1108" s="368"/>
      <c r="D1108" s="98">
        <v>78</v>
      </c>
      <c r="E1108" s="108">
        <v>8</v>
      </c>
    </row>
    <row r="1109" spans="1:5" ht="15">
      <c r="A1109" s="362"/>
      <c r="B1109" s="365"/>
      <c r="C1109" s="368"/>
      <c r="D1109" s="97">
        <v>79</v>
      </c>
      <c r="E1109" s="107">
        <v>6</v>
      </c>
    </row>
    <row r="1110" spans="1:5" ht="28">
      <c r="A1110" s="362"/>
      <c r="B1110" s="365"/>
      <c r="C1110" s="368"/>
      <c r="D1110" s="98" t="s">
        <v>11</v>
      </c>
      <c r="E1110" s="108">
        <v>39</v>
      </c>
    </row>
    <row r="1111" spans="1:5" ht="15">
      <c r="A1111" s="362"/>
      <c r="B1111" s="365"/>
      <c r="C1111" s="368" t="s">
        <v>27</v>
      </c>
      <c r="D1111" s="97">
        <v>80</v>
      </c>
      <c r="E1111" s="107">
        <v>9</v>
      </c>
    </row>
    <row r="1112" spans="1:5">
      <c r="A1112" s="362"/>
      <c r="B1112" s="365"/>
      <c r="C1112" s="368"/>
      <c r="D1112" s="98">
        <v>81</v>
      </c>
      <c r="E1112" s="108">
        <v>5</v>
      </c>
    </row>
    <row r="1113" spans="1:5" ht="15">
      <c r="A1113" s="362"/>
      <c r="B1113" s="365"/>
      <c r="C1113" s="368"/>
      <c r="D1113" s="97">
        <v>82</v>
      </c>
      <c r="E1113" s="107">
        <v>3</v>
      </c>
    </row>
    <row r="1114" spans="1:5">
      <c r="A1114" s="362"/>
      <c r="B1114" s="365"/>
      <c r="C1114" s="368"/>
      <c r="D1114" s="98">
        <v>83</v>
      </c>
      <c r="E1114" s="108">
        <v>5</v>
      </c>
    </row>
    <row r="1115" spans="1:5" ht="15">
      <c r="A1115" s="362"/>
      <c r="B1115" s="365"/>
      <c r="C1115" s="368"/>
      <c r="D1115" s="97">
        <v>84</v>
      </c>
      <c r="E1115" s="107">
        <v>7</v>
      </c>
    </row>
    <row r="1116" spans="1:5" ht="28">
      <c r="A1116" s="362"/>
      <c r="B1116" s="365"/>
      <c r="C1116" s="368"/>
      <c r="D1116" s="98" t="s">
        <v>11</v>
      </c>
      <c r="E1116" s="108">
        <v>29</v>
      </c>
    </row>
    <row r="1117" spans="1:5" ht="15">
      <c r="A1117" s="362"/>
      <c r="B1117" s="365"/>
      <c r="C1117" s="368" t="s">
        <v>28</v>
      </c>
      <c r="D1117" s="97">
        <v>85</v>
      </c>
      <c r="E1117" s="107">
        <v>6</v>
      </c>
    </row>
    <row r="1118" spans="1:5">
      <c r="A1118" s="362"/>
      <c r="B1118" s="365"/>
      <c r="C1118" s="368"/>
      <c r="D1118" s="98">
        <v>86</v>
      </c>
      <c r="E1118" s="108">
        <v>5</v>
      </c>
    </row>
    <row r="1119" spans="1:5" ht="15">
      <c r="A1119" s="362"/>
      <c r="B1119" s="365"/>
      <c r="C1119" s="368"/>
      <c r="D1119" s="97">
        <v>87</v>
      </c>
      <c r="E1119" s="107">
        <v>4</v>
      </c>
    </row>
    <row r="1120" spans="1:5">
      <c r="A1120" s="362"/>
      <c r="B1120" s="365"/>
      <c r="C1120" s="368"/>
      <c r="D1120" s="98">
        <v>88</v>
      </c>
      <c r="E1120" s="108">
        <v>3</v>
      </c>
    </row>
    <row r="1121" spans="1:5" ht="15">
      <c r="A1121" s="362"/>
      <c r="B1121" s="365"/>
      <c r="C1121" s="368"/>
      <c r="D1121" s="97">
        <v>89</v>
      </c>
      <c r="E1121" s="107">
        <v>5</v>
      </c>
    </row>
    <row r="1122" spans="1:5" ht="28">
      <c r="A1122" s="362"/>
      <c r="B1122" s="365"/>
      <c r="C1122" s="368"/>
      <c r="D1122" s="98" t="s">
        <v>11</v>
      </c>
      <c r="E1122" s="108">
        <v>23</v>
      </c>
    </row>
    <row r="1123" spans="1:5" ht="15">
      <c r="A1123" s="362"/>
      <c r="B1123" s="365"/>
      <c r="C1123" s="368" t="s">
        <v>29</v>
      </c>
      <c r="D1123" s="97">
        <v>90</v>
      </c>
      <c r="E1123" s="107">
        <v>1</v>
      </c>
    </row>
    <row r="1124" spans="1:5">
      <c r="A1124" s="362"/>
      <c r="B1124" s="365"/>
      <c r="C1124" s="368"/>
      <c r="D1124" s="98">
        <v>93</v>
      </c>
      <c r="E1124" s="108">
        <v>3</v>
      </c>
    </row>
    <row r="1125" spans="1:5" ht="15">
      <c r="A1125" s="362"/>
      <c r="B1125" s="365"/>
      <c r="C1125" s="368"/>
      <c r="D1125" s="97">
        <v>94</v>
      </c>
      <c r="E1125" s="107">
        <v>1</v>
      </c>
    </row>
    <row r="1126" spans="1:5" ht="28">
      <c r="A1126" s="362"/>
      <c r="B1126" s="365"/>
      <c r="C1126" s="368"/>
      <c r="D1126" s="98" t="s">
        <v>11</v>
      </c>
      <c r="E1126" s="108">
        <v>5</v>
      </c>
    </row>
    <row r="1127" spans="1:5" ht="15">
      <c r="A1127" s="362"/>
      <c r="B1127" s="365"/>
      <c r="C1127" s="368" t="s">
        <v>30</v>
      </c>
      <c r="D1127" s="97">
        <v>96</v>
      </c>
      <c r="E1127" s="107">
        <v>1</v>
      </c>
    </row>
    <row r="1128" spans="1:5" ht="28">
      <c r="A1128" s="362"/>
      <c r="B1128" s="365"/>
      <c r="C1128" s="368"/>
      <c r="D1128" s="98" t="s">
        <v>11</v>
      </c>
      <c r="E1128" s="108">
        <v>1</v>
      </c>
    </row>
    <row r="1129" spans="1:5" ht="15">
      <c r="A1129" s="362"/>
      <c r="B1129" s="365" t="s">
        <v>109</v>
      </c>
      <c r="C1129" s="368" t="s">
        <v>10</v>
      </c>
      <c r="D1129" s="97">
        <v>0</v>
      </c>
      <c r="E1129" s="107">
        <v>3509</v>
      </c>
    </row>
    <row r="1130" spans="1:5">
      <c r="A1130" s="362"/>
      <c r="B1130" s="365"/>
      <c r="C1130" s="368"/>
      <c r="D1130" s="98">
        <v>1</v>
      </c>
      <c r="E1130" s="108">
        <v>3810</v>
      </c>
    </row>
    <row r="1131" spans="1:5" ht="15">
      <c r="A1131" s="362"/>
      <c r="B1131" s="365"/>
      <c r="C1131" s="368"/>
      <c r="D1131" s="97">
        <v>2</v>
      </c>
      <c r="E1131" s="107">
        <v>3909</v>
      </c>
    </row>
    <row r="1132" spans="1:5">
      <c r="A1132" s="362"/>
      <c r="B1132" s="365"/>
      <c r="C1132" s="368"/>
      <c r="D1132" s="98">
        <v>3</v>
      </c>
      <c r="E1132" s="108">
        <v>3884</v>
      </c>
    </row>
    <row r="1133" spans="1:5" ht="15">
      <c r="A1133" s="362"/>
      <c r="B1133" s="365"/>
      <c r="C1133" s="368"/>
      <c r="D1133" s="97">
        <v>4</v>
      </c>
      <c r="E1133" s="107">
        <v>3915</v>
      </c>
    </row>
    <row r="1134" spans="1:5" ht="28">
      <c r="A1134" s="362"/>
      <c r="B1134" s="365"/>
      <c r="C1134" s="368"/>
      <c r="D1134" s="98" t="s">
        <v>11</v>
      </c>
      <c r="E1134" s="108">
        <v>19027</v>
      </c>
    </row>
    <row r="1135" spans="1:5" ht="15">
      <c r="A1135" s="362"/>
      <c r="B1135" s="365"/>
      <c r="C1135" s="368" t="s">
        <v>12</v>
      </c>
      <c r="D1135" s="97">
        <v>5</v>
      </c>
      <c r="E1135" s="107">
        <v>3971</v>
      </c>
    </row>
    <row r="1136" spans="1:5">
      <c r="A1136" s="362"/>
      <c r="B1136" s="365"/>
      <c r="C1136" s="368"/>
      <c r="D1136" s="98">
        <v>6</v>
      </c>
      <c r="E1136" s="108">
        <v>3903</v>
      </c>
    </row>
    <row r="1137" spans="1:5" ht="15">
      <c r="A1137" s="362"/>
      <c r="B1137" s="365"/>
      <c r="C1137" s="368"/>
      <c r="D1137" s="97">
        <v>7</v>
      </c>
      <c r="E1137" s="107">
        <v>3750</v>
      </c>
    </row>
    <row r="1138" spans="1:5">
      <c r="A1138" s="362"/>
      <c r="B1138" s="365"/>
      <c r="C1138" s="368"/>
      <c r="D1138" s="98">
        <v>8</v>
      </c>
      <c r="E1138" s="108">
        <v>3595</v>
      </c>
    </row>
    <row r="1139" spans="1:5" ht="15">
      <c r="A1139" s="362"/>
      <c r="B1139" s="365"/>
      <c r="C1139" s="368"/>
      <c r="D1139" s="97">
        <v>9</v>
      </c>
      <c r="E1139" s="107">
        <v>3570</v>
      </c>
    </row>
    <row r="1140" spans="1:5" ht="28">
      <c r="A1140" s="362"/>
      <c r="B1140" s="365"/>
      <c r="C1140" s="368"/>
      <c r="D1140" s="98" t="s">
        <v>11</v>
      </c>
      <c r="E1140" s="108">
        <v>18789</v>
      </c>
    </row>
    <row r="1141" spans="1:5" ht="15">
      <c r="A1141" s="362"/>
      <c r="B1141" s="365"/>
      <c r="C1141" s="368" t="s">
        <v>13</v>
      </c>
      <c r="D1141" s="97">
        <v>10</v>
      </c>
      <c r="E1141" s="107">
        <v>3487</v>
      </c>
    </row>
    <row r="1142" spans="1:5">
      <c r="A1142" s="362"/>
      <c r="B1142" s="365"/>
      <c r="C1142" s="368"/>
      <c r="D1142" s="98">
        <v>11</v>
      </c>
      <c r="E1142" s="108">
        <v>3354</v>
      </c>
    </row>
    <row r="1143" spans="1:5" ht="15">
      <c r="A1143" s="362"/>
      <c r="B1143" s="365"/>
      <c r="C1143" s="368"/>
      <c r="D1143" s="97">
        <v>12</v>
      </c>
      <c r="E1143" s="107">
        <v>3379</v>
      </c>
    </row>
    <row r="1144" spans="1:5">
      <c r="A1144" s="362"/>
      <c r="B1144" s="365"/>
      <c r="C1144" s="368"/>
      <c r="D1144" s="98">
        <v>13</v>
      </c>
      <c r="E1144" s="108">
        <v>3335</v>
      </c>
    </row>
    <row r="1145" spans="1:5" ht="15">
      <c r="A1145" s="362"/>
      <c r="B1145" s="365"/>
      <c r="C1145" s="368"/>
      <c r="D1145" s="97">
        <v>14</v>
      </c>
      <c r="E1145" s="107">
        <v>3353</v>
      </c>
    </row>
    <row r="1146" spans="1:5" ht="28">
      <c r="A1146" s="362"/>
      <c r="B1146" s="365"/>
      <c r="C1146" s="368"/>
      <c r="D1146" s="98" t="s">
        <v>11</v>
      </c>
      <c r="E1146" s="108">
        <v>16908</v>
      </c>
    </row>
    <row r="1147" spans="1:5" ht="15">
      <c r="A1147" s="362"/>
      <c r="B1147" s="365"/>
      <c r="C1147" s="368" t="s">
        <v>14</v>
      </c>
      <c r="D1147" s="97">
        <v>15</v>
      </c>
      <c r="E1147" s="107">
        <v>3521</v>
      </c>
    </row>
    <row r="1148" spans="1:5">
      <c r="A1148" s="362"/>
      <c r="B1148" s="365"/>
      <c r="C1148" s="368"/>
      <c r="D1148" s="98">
        <v>16</v>
      </c>
      <c r="E1148" s="108">
        <v>3204</v>
      </c>
    </row>
    <row r="1149" spans="1:5" ht="15">
      <c r="A1149" s="362"/>
      <c r="B1149" s="365"/>
      <c r="C1149" s="368"/>
      <c r="D1149" s="97">
        <v>17</v>
      </c>
      <c r="E1149" s="107">
        <v>3385</v>
      </c>
    </row>
    <row r="1150" spans="1:5">
      <c r="A1150" s="362"/>
      <c r="B1150" s="365"/>
      <c r="C1150" s="368"/>
      <c r="D1150" s="98">
        <v>18</v>
      </c>
      <c r="E1150" s="108">
        <v>3547</v>
      </c>
    </row>
    <row r="1151" spans="1:5" ht="15">
      <c r="A1151" s="362"/>
      <c r="B1151" s="365"/>
      <c r="C1151" s="368"/>
      <c r="D1151" s="97">
        <v>19</v>
      </c>
      <c r="E1151" s="107">
        <v>3320</v>
      </c>
    </row>
    <row r="1152" spans="1:5" ht="28">
      <c r="A1152" s="362"/>
      <c r="B1152" s="365"/>
      <c r="C1152" s="368"/>
      <c r="D1152" s="98" t="s">
        <v>11</v>
      </c>
      <c r="E1152" s="108">
        <v>16977</v>
      </c>
    </row>
    <row r="1153" spans="1:5" ht="15">
      <c r="A1153" s="362"/>
      <c r="B1153" s="365"/>
      <c r="C1153" s="368" t="s">
        <v>15</v>
      </c>
      <c r="D1153" s="97">
        <v>20</v>
      </c>
      <c r="E1153" s="107">
        <v>3117</v>
      </c>
    </row>
    <row r="1154" spans="1:5">
      <c r="A1154" s="362"/>
      <c r="B1154" s="365"/>
      <c r="C1154" s="368"/>
      <c r="D1154" s="98">
        <v>21</v>
      </c>
      <c r="E1154" s="108">
        <v>3165</v>
      </c>
    </row>
    <row r="1155" spans="1:5" ht="15">
      <c r="A1155" s="362"/>
      <c r="B1155" s="365"/>
      <c r="C1155" s="368"/>
      <c r="D1155" s="97">
        <v>22</v>
      </c>
      <c r="E1155" s="107">
        <v>2952</v>
      </c>
    </row>
    <row r="1156" spans="1:5">
      <c r="A1156" s="362"/>
      <c r="B1156" s="365"/>
      <c r="C1156" s="368"/>
      <c r="D1156" s="98">
        <v>23</v>
      </c>
      <c r="E1156" s="108">
        <v>3136</v>
      </c>
    </row>
    <row r="1157" spans="1:5" ht="15">
      <c r="A1157" s="362"/>
      <c r="B1157" s="365"/>
      <c r="C1157" s="368"/>
      <c r="D1157" s="97">
        <v>24</v>
      </c>
      <c r="E1157" s="107">
        <v>2882</v>
      </c>
    </row>
    <row r="1158" spans="1:5" ht="28">
      <c r="A1158" s="362"/>
      <c r="B1158" s="365"/>
      <c r="C1158" s="368"/>
      <c r="D1158" s="98" t="s">
        <v>11</v>
      </c>
      <c r="E1158" s="108">
        <v>15252</v>
      </c>
    </row>
    <row r="1159" spans="1:5" ht="15">
      <c r="A1159" s="362"/>
      <c r="B1159" s="365"/>
      <c r="C1159" s="368" t="s">
        <v>16</v>
      </c>
      <c r="D1159" s="97">
        <v>25</v>
      </c>
      <c r="E1159" s="107">
        <v>2956</v>
      </c>
    </row>
    <row r="1160" spans="1:5">
      <c r="A1160" s="362"/>
      <c r="B1160" s="365"/>
      <c r="C1160" s="368"/>
      <c r="D1160" s="98">
        <v>26</v>
      </c>
      <c r="E1160" s="108">
        <v>2726</v>
      </c>
    </row>
    <row r="1161" spans="1:5" ht="15">
      <c r="A1161" s="362"/>
      <c r="B1161" s="365"/>
      <c r="C1161" s="368"/>
      <c r="D1161" s="97">
        <v>27</v>
      </c>
      <c r="E1161" s="107">
        <v>2614</v>
      </c>
    </row>
    <row r="1162" spans="1:5">
      <c r="A1162" s="362"/>
      <c r="B1162" s="365"/>
      <c r="C1162" s="368"/>
      <c r="D1162" s="98">
        <v>28</v>
      </c>
      <c r="E1162" s="108">
        <v>2401</v>
      </c>
    </row>
    <row r="1163" spans="1:5" ht="15">
      <c r="A1163" s="362"/>
      <c r="B1163" s="365"/>
      <c r="C1163" s="368"/>
      <c r="D1163" s="97">
        <v>29</v>
      </c>
      <c r="E1163" s="107">
        <v>2496</v>
      </c>
    </row>
    <row r="1164" spans="1:5" ht="28">
      <c r="A1164" s="362"/>
      <c r="B1164" s="365"/>
      <c r="C1164" s="368"/>
      <c r="D1164" s="98" t="s">
        <v>11</v>
      </c>
      <c r="E1164" s="108">
        <v>13193</v>
      </c>
    </row>
    <row r="1165" spans="1:5" ht="15">
      <c r="A1165" s="362"/>
      <c r="B1165" s="365"/>
      <c r="C1165" s="368" t="s">
        <v>17</v>
      </c>
      <c r="D1165" s="97">
        <v>30</v>
      </c>
      <c r="E1165" s="107">
        <v>2475</v>
      </c>
    </row>
    <row r="1166" spans="1:5">
      <c r="A1166" s="362"/>
      <c r="B1166" s="365"/>
      <c r="C1166" s="368"/>
      <c r="D1166" s="98">
        <v>31</v>
      </c>
      <c r="E1166" s="108">
        <v>2151</v>
      </c>
    </row>
    <row r="1167" spans="1:5" ht="15">
      <c r="A1167" s="362"/>
      <c r="B1167" s="365"/>
      <c r="C1167" s="368"/>
      <c r="D1167" s="97">
        <v>32</v>
      </c>
      <c r="E1167" s="107">
        <v>2294</v>
      </c>
    </row>
    <row r="1168" spans="1:5">
      <c r="A1168" s="362"/>
      <c r="B1168" s="365"/>
      <c r="C1168" s="368"/>
      <c r="D1168" s="98">
        <v>33</v>
      </c>
      <c r="E1168" s="108">
        <v>2302</v>
      </c>
    </row>
    <row r="1169" spans="1:5" ht="15">
      <c r="A1169" s="362"/>
      <c r="B1169" s="365"/>
      <c r="C1169" s="368"/>
      <c r="D1169" s="97">
        <v>34</v>
      </c>
      <c r="E1169" s="107">
        <v>2206</v>
      </c>
    </row>
    <row r="1170" spans="1:5" ht="28">
      <c r="A1170" s="362"/>
      <c r="B1170" s="365"/>
      <c r="C1170" s="368"/>
      <c r="D1170" s="98" t="s">
        <v>11</v>
      </c>
      <c r="E1170" s="108">
        <v>11428</v>
      </c>
    </row>
    <row r="1171" spans="1:5" ht="15">
      <c r="A1171" s="362"/>
      <c r="B1171" s="365"/>
      <c r="C1171" s="368" t="s">
        <v>18</v>
      </c>
      <c r="D1171" s="97">
        <v>35</v>
      </c>
      <c r="E1171" s="107">
        <v>2189</v>
      </c>
    </row>
    <row r="1172" spans="1:5">
      <c r="A1172" s="362"/>
      <c r="B1172" s="365"/>
      <c r="C1172" s="368"/>
      <c r="D1172" s="98">
        <v>36</v>
      </c>
      <c r="E1172" s="108">
        <v>2141</v>
      </c>
    </row>
    <row r="1173" spans="1:5" ht="15">
      <c r="A1173" s="362"/>
      <c r="B1173" s="365"/>
      <c r="C1173" s="368"/>
      <c r="D1173" s="97">
        <v>37</v>
      </c>
      <c r="E1173" s="107">
        <v>1865</v>
      </c>
    </row>
    <row r="1174" spans="1:5">
      <c r="A1174" s="362"/>
      <c r="B1174" s="365"/>
      <c r="C1174" s="368"/>
      <c r="D1174" s="98">
        <v>38</v>
      </c>
      <c r="E1174" s="108">
        <v>1908</v>
      </c>
    </row>
    <row r="1175" spans="1:5" ht="15">
      <c r="A1175" s="362"/>
      <c r="B1175" s="365"/>
      <c r="C1175" s="368"/>
      <c r="D1175" s="97">
        <v>39</v>
      </c>
      <c r="E1175" s="107">
        <v>1963</v>
      </c>
    </row>
    <row r="1176" spans="1:5" ht="28">
      <c r="A1176" s="362"/>
      <c r="B1176" s="365"/>
      <c r="C1176" s="368"/>
      <c r="D1176" s="98" t="s">
        <v>11</v>
      </c>
      <c r="E1176" s="108">
        <v>10066</v>
      </c>
    </row>
    <row r="1177" spans="1:5" ht="15">
      <c r="A1177" s="362"/>
      <c r="B1177" s="365"/>
      <c r="C1177" s="368" t="s">
        <v>19</v>
      </c>
      <c r="D1177" s="97">
        <v>40</v>
      </c>
      <c r="E1177" s="107">
        <v>1886</v>
      </c>
    </row>
    <row r="1178" spans="1:5">
      <c r="A1178" s="362"/>
      <c r="B1178" s="365"/>
      <c r="C1178" s="368"/>
      <c r="D1178" s="98">
        <v>41</v>
      </c>
      <c r="E1178" s="108">
        <v>1618</v>
      </c>
    </row>
    <row r="1179" spans="1:5" ht="15">
      <c r="A1179" s="362"/>
      <c r="B1179" s="365"/>
      <c r="C1179" s="368"/>
      <c r="D1179" s="97">
        <v>42</v>
      </c>
      <c r="E1179" s="107">
        <v>1666</v>
      </c>
    </row>
    <row r="1180" spans="1:5">
      <c r="A1180" s="362"/>
      <c r="B1180" s="365"/>
      <c r="C1180" s="368"/>
      <c r="D1180" s="98">
        <v>43</v>
      </c>
      <c r="E1180" s="108">
        <v>1590</v>
      </c>
    </row>
    <row r="1181" spans="1:5" ht="15">
      <c r="A1181" s="362"/>
      <c r="B1181" s="365"/>
      <c r="C1181" s="368"/>
      <c r="D1181" s="97">
        <v>44</v>
      </c>
      <c r="E1181" s="107">
        <v>1470</v>
      </c>
    </row>
    <row r="1182" spans="1:5" ht="28">
      <c r="A1182" s="362"/>
      <c r="B1182" s="365"/>
      <c r="C1182" s="368"/>
      <c r="D1182" s="98" t="s">
        <v>11</v>
      </c>
      <c r="E1182" s="108">
        <v>8230</v>
      </c>
    </row>
    <row r="1183" spans="1:5" ht="15">
      <c r="A1183" s="362"/>
      <c r="B1183" s="365"/>
      <c r="C1183" s="368" t="s">
        <v>20</v>
      </c>
      <c r="D1183" s="97">
        <v>45</v>
      </c>
      <c r="E1183" s="107">
        <v>1550</v>
      </c>
    </row>
    <row r="1184" spans="1:5">
      <c r="A1184" s="362"/>
      <c r="B1184" s="365"/>
      <c r="C1184" s="368"/>
      <c r="D1184" s="98">
        <v>46</v>
      </c>
      <c r="E1184" s="108">
        <v>1356</v>
      </c>
    </row>
    <row r="1185" spans="1:5" ht="15">
      <c r="A1185" s="362"/>
      <c r="B1185" s="365"/>
      <c r="C1185" s="368"/>
      <c r="D1185" s="97">
        <v>47</v>
      </c>
      <c r="E1185" s="107">
        <v>1368</v>
      </c>
    </row>
    <row r="1186" spans="1:5">
      <c r="A1186" s="362"/>
      <c r="B1186" s="365"/>
      <c r="C1186" s="368"/>
      <c r="D1186" s="98">
        <v>48</v>
      </c>
      <c r="E1186" s="108">
        <v>1337</v>
      </c>
    </row>
    <row r="1187" spans="1:5" ht="15">
      <c r="A1187" s="362"/>
      <c r="B1187" s="365"/>
      <c r="C1187" s="368"/>
      <c r="D1187" s="97">
        <v>49</v>
      </c>
      <c r="E1187" s="107">
        <v>1271</v>
      </c>
    </row>
    <row r="1188" spans="1:5" ht="28">
      <c r="A1188" s="362"/>
      <c r="B1188" s="365"/>
      <c r="C1188" s="368"/>
      <c r="D1188" s="98" t="s">
        <v>11</v>
      </c>
      <c r="E1188" s="108">
        <v>6882</v>
      </c>
    </row>
    <row r="1189" spans="1:5" ht="15">
      <c r="A1189" s="362"/>
      <c r="B1189" s="365"/>
      <c r="C1189" s="368" t="s">
        <v>21</v>
      </c>
      <c r="D1189" s="97">
        <v>50</v>
      </c>
      <c r="E1189" s="107">
        <v>1281</v>
      </c>
    </row>
    <row r="1190" spans="1:5">
      <c r="A1190" s="362"/>
      <c r="B1190" s="365"/>
      <c r="C1190" s="368"/>
      <c r="D1190" s="98">
        <v>51</v>
      </c>
      <c r="E1190" s="108">
        <v>1225</v>
      </c>
    </row>
    <row r="1191" spans="1:5" ht="15">
      <c r="A1191" s="362"/>
      <c r="B1191" s="365"/>
      <c r="C1191" s="368"/>
      <c r="D1191" s="97">
        <v>52</v>
      </c>
      <c r="E1191" s="107">
        <v>1294</v>
      </c>
    </row>
    <row r="1192" spans="1:5">
      <c r="A1192" s="362"/>
      <c r="B1192" s="365"/>
      <c r="C1192" s="368"/>
      <c r="D1192" s="98">
        <v>53</v>
      </c>
      <c r="E1192" s="108">
        <v>1274</v>
      </c>
    </row>
    <row r="1193" spans="1:5" ht="15">
      <c r="A1193" s="362"/>
      <c r="B1193" s="365"/>
      <c r="C1193" s="368"/>
      <c r="D1193" s="97">
        <v>54</v>
      </c>
      <c r="E1193" s="107">
        <v>1131</v>
      </c>
    </row>
    <row r="1194" spans="1:5" ht="28">
      <c r="A1194" s="362"/>
      <c r="B1194" s="365"/>
      <c r="C1194" s="368"/>
      <c r="D1194" s="98" t="s">
        <v>11</v>
      </c>
      <c r="E1194" s="108">
        <v>6205</v>
      </c>
    </row>
    <row r="1195" spans="1:5" ht="15">
      <c r="A1195" s="362"/>
      <c r="B1195" s="365"/>
      <c r="C1195" s="368" t="s">
        <v>22</v>
      </c>
      <c r="D1195" s="97">
        <v>55</v>
      </c>
      <c r="E1195" s="107">
        <v>1160</v>
      </c>
    </row>
    <row r="1196" spans="1:5">
      <c r="A1196" s="362"/>
      <c r="B1196" s="365"/>
      <c r="C1196" s="368"/>
      <c r="D1196" s="98">
        <v>56</v>
      </c>
      <c r="E1196" s="108">
        <v>1114</v>
      </c>
    </row>
    <row r="1197" spans="1:5" ht="15">
      <c r="A1197" s="362"/>
      <c r="B1197" s="365"/>
      <c r="C1197" s="368"/>
      <c r="D1197" s="97">
        <v>57</v>
      </c>
      <c r="E1197" s="107">
        <v>1023</v>
      </c>
    </row>
    <row r="1198" spans="1:5">
      <c r="A1198" s="362"/>
      <c r="B1198" s="365"/>
      <c r="C1198" s="368"/>
      <c r="D1198" s="98">
        <v>58</v>
      </c>
      <c r="E1198" s="108">
        <v>1078</v>
      </c>
    </row>
    <row r="1199" spans="1:5" ht="15">
      <c r="A1199" s="362"/>
      <c r="B1199" s="365"/>
      <c r="C1199" s="368"/>
      <c r="D1199" s="97">
        <v>59</v>
      </c>
      <c r="E1199" s="107">
        <v>972</v>
      </c>
    </row>
    <row r="1200" spans="1:5" ht="28">
      <c r="A1200" s="362"/>
      <c r="B1200" s="365"/>
      <c r="C1200" s="368"/>
      <c r="D1200" s="98" t="s">
        <v>11</v>
      </c>
      <c r="E1200" s="108">
        <v>5347</v>
      </c>
    </row>
    <row r="1201" spans="1:5" ht="15">
      <c r="A1201" s="362"/>
      <c r="B1201" s="365"/>
      <c r="C1201" s="368" t="s">
        <v>23</v>
      </c>
      <c r="D1201" s="97">
        <v>60</v>
      </c>
      <c r="E1201" s="107">
        <v>931</v>
      </c>
    </row>
    <row r="1202" spans="1:5">
      <c r="A1202" s="362"/>
      <c r="B1202" s="365"/>
      <c r="C1202" s="368"/>
      <c r="D1202" s="98">
        <v>61</v>
      </c>
      <c r="E1202" s="108">
        <v>834</v>
      </c>
    </row>
    <row r="1203" spans="1:5" ht="15">
      <c r="A1203" s="362"/>
      <c r="B1203" s="365"/>
      <c r="C1203" s="368"/>
      <c r="D1203" s="97">
        <v>62</v>
      </c>
      <c r="E1203" s="107">
        <v>718</v>
      </c>
    </row>
    <row r="1204" spans="1:5">
      <c r="A1204" s="362"/>
      <c r="B1204" s="365"/>
      <c r="C1204" s="368"/>
      <c r="D1204" s="98">
        <v>63</v>
      </c>
      <c r="E1204" s="108">
        <v>698</v>
      </c>
    </row>
    <row r="1205" spans="1:5" ht="15">
      <c r="A1205" s="362"/>
      <c r="B1205" s="365"/>
      <c r="C1205" s="368"/>
      <c r="D1205" s="97">
        <v>64</v>
      </c>
      <c r="E1205" s="107">
        <v>607</v>
      </c>
    </row>
    <row r="1206" spans="1:5" ht="28">
      <c r="A1206" s="362"/>
      <c r="B1206" s="365"/>
      <c r="C1206" s="368"/>
      <c r="D1206" s="98" t="s">
        <v>11</v>
      </c>
      <c r="E1206" s="108">
        <v>3788</v>
      </c>
    </row>
    <row r="1207" spans="1:5" ht="15">
      <c r="A1207" s="362"/>
      <c r="B1207" s="365"/>
      <c r="C1207" s="368" t="s">
        <v>24</v>
      </c>
      <c r="D1207" s="97">
        <v>65</v>
      </c>
      <c r="E1207" s="107">
        <v>566</v>
      </c>
    </row>
    <row r="1208" spans="1:5">
      <c r="A1208" s="362"/>
      <c r="B1208" s="365"/>
      <c r="C1208" s="368"/>
      <c r="D1208" s="98">
        <v>66</v>
      </c>
      <c r="E1208" s="108">
        <v>635</v>
      </c>
    </row>
    <row r="1209" spans="1:5" ht="15">
      <c r="A1209" s="362"/>
      <c r="B1209" s="365"/>
      <c r="C1209" s="368"/>
      <c r="D1209" s="97">
        <v>67</v>
      </c>
      <c r="E1209" s="107">
        <v>635</v>
      </c>
    </row>
    <row r="1210" spans="1:5">
      <c r="A1210" s="362"/>
      <c r="B1210" s="365"/>
      <c r="C1210" s="368"/>
      <c r="D1210" s="98">
        <v>68</v>
      </c>
      <c r="E1210" s="108">
        <v>536</v>
      </c>
    </row>
    <row r="1211" spans="1:5" ht="15">
      <c r="A1211" s="362"/>
      <c r="B1211" s="365"/>
      <c r="C1211" s="368"/>
      <c r="D1211" s="97">
        <v>69</v>
      </c>
      <c r="E1211" s="107">
        <v>407</v>
      </c>
    </row>
    <row r="1212" spans="1:5" ht="28">
      <c r="A1212" s="362"/>
      <c r="B1212" s="365"/>
      <c r="C1212" s="368"/>
      <c r="D1212" s="98" t="s">
        <v>11</v>
      </c>
      <c r="E1212" s="108">
        <v>2779</v>
      </c>
    </row>
    <row r="1213" spans="1:5" ht="15">
      <c r="A1213" s="362"/>
      <c r="B1213" s="365"/>
      <c r="C1213" s="368" t="s">
        <v>25</v>
      </c>
      <c r="D1213" s="97">
        <v>70</v>
      </c>
      <c r="E1213" s="107">
        <v>484</v>
      </c>
    </row>
    <row r="1214" spans="1:5">
      <c r="A1214" s="362"/>
      <c r="B1214" s="365"/>
      <c r="C1214" s="368"/>
      <c r="D1214" s="98">
        <v>71</v>
      </c>
      <c r="E1214" s="108">
        <v>350</v>
      </c>
    </row>
    <row r="1215" spans="1:5" ht="15">
      <c r="A1215" s="362"/>
      <c r="B1215" s="365"/>
      <c r="C1215" s="368"/>
      <c r="D1215" s="97">
        <v>72</v>
      </c>
      <c r="E1215" s="107">
        <v>349</v>
      </c>
    </row>
    <row r="1216" spans="1:5">
      <c r="A1216" s="362"/>
      <c r="B1216" s="365"/>
      <c r="C1216" s="368"/>
      <c r="D1216" s="98">
        <v>73</v>
      </c>
      <c r="E1216" s="108">
        <v>280</v>
      </c>
    </row>
    <row r="1217" spans="1:5" ht="15">
      <c r="A1217" s="362"/>
      <c r="B1217" s="365"/>
      <c r="C1217" s="368"/>
      <c r="D1217" s="97">
        <v>74</v>
      </c>
      <c r="E1217" s="107">
        <v>278</v>
      </c>
    </row>
    <row r="1218" spans="1:5" ht="28">
      <c r="A1218" s="362"/>
      <c r="B1218" s="365"/>
      <c r="C1218" s="368"/>
      <c r="D1218" s="98" t="s">
        <v>11</v>
      </c>
      <c r="E1218" s="108">
        <v>1741</v>
      </c>
    </row>
    <row r="1219" spans="1:5" ht="15">
      <c r="A1219" s="362"/>
      <c r="B1219" s="365"/>
      <c r="C1219" s="368" t="s">
        <v>26</v>
      </c>
      <c r="D1219" s="97">
        <v>75</v>
      </c>
      <c r="E1219" s="107">
        <v>283</v>
      </c>
    </row>
    <row r="1220" spans="1:5">
      <c r="A1220" s="362"/>
      <c r="B1220" s="365"/>
      <c r="C1220" s="368"/>
      <c r="D1220" s="98">
        <v>76</v>
      </c>
      <c r="E1220" s="108">
        <v>209</v>
      </c>
    </row>
    <row r="1221" spans="1:5" ht="15">
      <c r="A1221" s="362"/>
      <c r="B1221" s="365"/>
      <c r="C1221" s="368"/>
      <c r="D1221" s="97">
        <v>77</v>
      </c>
      <c r="E1221" s="107">
        <v>253</v>
      </c>
    </row>
    <row r="1222" spans="1:5">
      <c r="A1222" s="362"/>
      <c r="B1222" s="365"/>
      <c r="C1222" s="368"/>
      <c r="D1222" s="98">
        <v>78</v>
      </c>
      <c r="E1222" s="108">
        <v>301</v>
      </c>
    </row>
    <row r="1223" spans="1:5" ht="15">
      <c r="A1223" s="362"/>
      <c r="B1223" s="365"/>
      <c r="C1223" s="368"/>
      <c r="D1223" s="97">
        <v>79</v>
      </c>
      <c r="E1223" s="107">
        <v>220</v>
      </c>
    </row>
    <row r="1224" spans="1:5" ht="28">
      <c r="A1224" s="362"/>
      <c r="B1224" s="365"/>
      <c r="C1224" s="368"/>
      <c r="D1224" s="98" t="s">
        <v>11</v>
      </c>
      <c r="E1224" s="108">
        <v>1266</v>
      </c>
    </row>
    <row r="1225" spans="1:5" ht="15">
      <c r="A1225" s="362"/>
      <c r="B1225" s="365"/>
      <c r="C1225" s="368" t="s">
        <v>27</v>
      </c>
      <c r="D1225" s="97">
        <v>80</v>
      </c>
      <c r="E1225" s="107">
        <v>190</v>
      </c>
    </row>
    <row r="1226" spans="1:5">
      <c r="A1226" s="362"/>
      <c r="B1226" s="365"/>
      <c r="C1226" s="368"/>
      <c r="D1226" s="98">
        <v>81</v>
      </c>
      <c r="E1226" s="108">
        <v>138</v>
      </c>
    </row>
    <row r="1227" spans="1:5" ht="15">
      <c r="A1227" s="362"/>
      <c r="B1227" s="365"/>
      <c r="C1227" s="368"/>
      <c r="D1227" s="97">
        <v>82</v>
      </c>
      <c r="E1227" s="107">
        <v>135</v>
      </c>
    </row>
    <row r="1228" spans="1:5">
      <c r="A1228" s="362"/>
      <c r="B1228" s="365"/>
      <c r="C1228" s="368"/>
      <c r="D1228" s="98">
        <v>83</v>
      </c>
      <c r="E1228" s="108">
        <v>139</v>
      </c>
    </row>
    <row r="1229" spans="1:5" ht="15">
      <c r="A1229" s="362"/>
      <c r="B1229" s="365"/>
      <c r="C1229" s="368"/>
      <c r="D1229" s="97">
        <v>84</v>
      </c>
      <c r="E1229" s="107">
        <v>105</v>
      </c>
    </row>
    <row r="1230" spans="1:5" ht="28">
      <c r="A1230" s="362"/>
      <c r="B1230" s="365"/>
      <c r="C1230" s="368"/>
      <c r="D1230" s="98" t="s">
        <v>11</v>
      </c>
      <c r="E1230" s="108">
        <v>707</v>
      </c>
    </row>
    <row r="1231" spans="1:5" ht="15">
      <c r="A1231" s="362"/>
      <c r="B1231" s="365"/>
      <c r="C1231" s="368" t="s">
        <v>28</v>
      </c>
      <c r="D1231" s="97">
        <v>85</v>
      </c>
      <c r="E1231" s="107">
        <v>99</v>
      </c>
    </row>
    <row r="1232" spans="1:5">
      <c r="A1232" s="362"/>
      <c r="B1232" s="365"/>
      <c r="C1232" s="368"/>
      <c r="D1232" s="98">
        <v>86</v>
      </c>
      <c r="E1232" s="108">
        <v>71</v>
      </c>
    </row>
    <row r="1233" spans="1:5" ht="15">
      <c r="A1233" s="362"/>
      <c r="B1233" s="365"/>
      <c r="C1233" s="368"/>
      <c r="D1233" s="97">
        <v>87</v>
      </c>
      <c r="E1233" s="107">
        <v>81</v>
      </c>
    </row>
    <row r="1234" spans="1:5">
      <c r="A1234" s="362"/>
      <c r="B1234" s="365"/>
      <c r="C1234" s="368"/>
      <c r="D1234" s="98">
        <v>88</v>
      </c>
      <c r="E1234" s="108">
        <v>65</v>
      </c>
    </row>
    <row r="1235" spans="1:5" ht="15">
      <c r="A1235" s="362"/>
      <c r="B1235" s="365"/>
      <c r="C1235" s="368"/>
      <c r="D1235" s="97">
        <v>89</v>
      </c>
      <c r="E1235" s="107">
        <v>49</v>
      </c>
    </row>
    <row r="1236" spans="1:5" ht="28">
      <c r="A1236" s="362"/>
      <c r="B1236" s="365"/>
      <c r="C1236" s="368"/>
      <c r="D1236" s="98" t="s">
        <v>11</v>
      </c>
      <c r="E1236" s="108">
        <v>365</v>
      </c>
    </row>
    <row r="1237" spans="1:5" ht="15">
      <c r="A1237" s="362"/>
      <c r="B1237" s="365"/>
      <c r="C1237" s="368" t="s">
        <v>29</v>
      </c>
      <c r="D1237" s="97">
        <v>90</v>
      </c>
      <c r="E1237" s="107">
        <v>49</v>
      </c>
    </row>
    <row r="1238" spans="1:5">
      <c r="A1238" s="362"/>
      <c r="B1238" s="365"/>
      <c r="C1238" s="368"/>
      <c r="D1238" s="98">
        <v>91</v>
      </c>
      <c r="E1238" s="108">
        <v>35</v>
      </c>
    </row>
    <row r="1239" spans="1:5" ht="15">
      <c r="A1239" s="362"/>
      <c r="B1239" s="365"/>
      <c r="C1239" s="368"/>
      <c r="D1239" s="97">
        <v>92</v>
      </c>
      <c r="E1239" s="107">
        <v>36</v>
      </c>
    </row>
    <row r="1240" spans="1:5">
      <c r="A1240" s="362"/>
      <c r="B1240" s="365"/>
      <c r="C1240" s="368"/>
      <c r="D1240" s="98">
        <v>93</v>
      </c>
      <c r="E1240" s="108">
        <v>27</v>
      </c>
    </row>
    <row r="1241" spans="1:5" ht="15">
      <c r="A1241" s="362"/>
      <c r="B1241" s="365"/>
      <c r="C1241" s="368"/>
      <c r="D1241" s="97">
        <v>94</v>
      </c>
      <c r="E1241" s="107">
        <v>18</v>
      </c>
    </row>
    <row r="1242" spans="1:5" ht="28">
      <c r="A1242" s="362"/>
      <c r="B1242" s="365"/>
      <c r="C1242" s="368"/>
      <c r="D1242" s="98" t="s">
        <v>11</v>
      </c>
      <c r="E1242" s="108">
        <v>165</v>
      </c>
    </row>
    <row r="1243" spans="1:5" ht="15">
      <c r="A1243" s="362"/>
      <c r="B1243" s="365"/>
      <c r="C1243" s="368" t="s">
        <v>30</v>
      </c>
      <c r="D1243" s="97">
        <v>95</v>
      </c>
      <c r="E1243" s="107">
        <v>19</v>
      </c>
    </row>
    <row r="1244" spans="1:5">
      <c r="A1244" s="362"/>
      <c r="B1244" s="365"/>
      <c r="C1244" s="368"/>
      <c r="D1244" s="98">
        <v>96</v>
      </c>
      <c r="E1244" s="108">
        <v>13</v>
      </c>
    </row>
    <row r="1245" spans="1:5" ht="15">
      <c r="A1245" s="362"/>
      <c r="B1245" s="365"/>
      <c r="C1245" s="368"/>
      <c r="D1245" s="97">
        <v>97</v>
      </c>
      <c r="E1245" s="107">
        <v>17</v>
      </c>
    </row>
    <row r="1246" spans="1:5">
      <c r="A1246" s="362"/>
      <c r="B1246" s="365"/>
      <c r="C1246" s="368"/>
      <c r="D1246" s="98">
        <v>98</v>
      </c>
      <c r="E1246" s="108">
        <v>6</v>
      </c>
    </row>
    <row r="1247" spans="1:5" ht="15">
      <c r="A1247" s="362"/>
      <c r="B1247" s="365"/>
      <c r="C1247" s="368"/>
      <c r="D1247" s="97">
        <v>99</v>
      </c>
      <c r="E1247" s="107">
        <v>8</v>
      </c>
    </row>
    <row r="1248" spans="1:5" ht="28">
      <c r="A1248" s="362"/>
      <c r="B1248" s="365"/>
      <c r="C1248" s="368"/>
      <c r="D1248" s="98" t="s">
        <v>11</v>
      </c>
      <c r="E1248" s="108">
        <v>63</v>
      </c>
    </row>
    <row r="1249" spans="1:5" ht="15">
      <c r="A1249" s="362"/>
      <c r="B1249" s="365"/>
      <c r="C1249" s="368" t="s">
        <v>31</v>
      </c>
      <c r="D1249" s="97">
        <v>100</v>
      </c>
      <c r="E1249" s="107">
        <v>8</v>
      </c>
    </row>
    <row r="1250" spans="1:5">
      <c r="A1250" s="362"/>
      <c r="B1250" s="365"/>
      <c r="C1250" s="368"/>
      <c r="D1250" s="98">
        <v>101</v>
      </c>
      <c r="E1250" s="108">
        <v>5</v>
      </c>
    </row>
    <row r="1251" spans="1:5" ht="15">
      <c r="A1251" s="362"/>
      <c r="B1251" s="365"/>
      <c r="C1251" s="368"/>
      <c r="D1251" s="97">
        <v>102</v>
      </c>
      <c r="E1251" s="107">
        <v>1</v>
      </c>
    </row>
    <row r="1252" spans="1:5">
      <c r="A1252" s="362"/>
      <c r="B1252" s="365"/>
      <c r="C1252" s="368"/>
      <c r="D1252" s="98">
        <v>103</v>
      </c>
      <c r="E1252" s="108">
        <v>6</v>
      </c>
    </row>
    <row r="1253" spans="1:5" ht="15">
      <c r="A1253" s="362"/>
      <c r="B1253" s="365"/>
      <c r="C1253" s="368"/>
      <c r="D1253" s="97">
        <v>104</v>
      </c>
      <c r="E1253" s="107">
        <v>2</v>
      </c>
    </row>
    <row r="1254" spans="1:5" ht="28">
      <c r="A1254" s="362"/>
      <c r="B1254" s="365"/>
      <c r="C1254" s="368"/>
      <c r="D1254" s="98" t="s">
        <v>11</v>
      </c>
      <c r="E1254" s="108">
        <v>22</v>
      </c>
    </row>
    <row r="1255" spans="1:5" ht="15">
      <c r="A1255" s="362"/>
      <c r="B1255" s="365"/>
      <c r="C1255" s="368" t="s">
        <v>32</v>
      </c>
      <c r="D1255" s="97">
        <v>105</v>
      </c>
      <c r="E1255" s="107">
        <v>3</v>
      </c>
    </row>
    <row r="1256" spans="1:5">
      <c r="A1256" s="362"/>
      <c r="B1256" s="365"/>
      <c r="C1256" s="368"/>
      <c r="D1256" s="98">
        <v>106</v>
      </c>
      <c r="E1256" s="108">
        <v>1</v>
      </c>
    </row>
    <row r="1257" spans="1:5" ht="15">
      <c r="A1257" s="362"/>
      <c r="B1257" s="365"/>
      <c r="C1257" s="368"/>
      <c r="D1257" s="97">
        <v>107</v>
      </c>
      <c r="E1257" s="107">
        <v>4</v>
      </c>
    </row>
    <row r="1258" spans="1:5">
      <c r="A1258" s="362"/>
      <c r="B1258" s="365"/>
      <c r="C1258" s="368"/>
      <c r="D1258" s="98">
        <v>108</v>
      </c>
      <c r="E1258" s="108">
        <v>1</v>
      </c>
    </row>
    <row r="1259" spans="1:5" ht="28">
      <c r="A1259" s="362"/>
      <c r="B1259" s="365"/>
      <c r="C1259" s="368"/>
      <c r="D1259" s="97" t="s">
        <v>11</v>
      </c>
      <c r="E1259" s="107">
        <v>9</v>
      </c>
    </row>
    <row r="1260" spans="1:5">
      <c r="A1260" s="362"/>
      <c r="B1260" s="365"/>
      <c r="C1260" s="368" t="s">
        <v>33</v>
      </c>
      <c r="D1260" s="98">
        <v>110</v>
      </c>
      <c r="E1260" s="108">
        <v>1</v>
      </c>
    </row>
    <row r="1261" spans="1:5" ht="15">
      <c r="A1261" s="362"/>
      <c r="B1261" s="365"/>
      <c r="C1261" s="368"/>
      <c r="D1261" s="97">
        <v>111</v>
      </c>
      <c r="E1261" s="107">
        <v>3</v>
      </c>
    </row>
    <row r="1262" spans="1:5">
      <c r="A1262" s="362"/>
      <c r="B1262" s="365"/>
      <c r="C1262" s="368"/>
      <c r="D1262" s="98">
        <v>112</v>
      </c>
      <c r="E1262" s="108">
        <v>3</v>
      </c>
    </row>
    <row r="1263" spans="1:5" ht="15">
      <c r="A1263" s="362"/>
      <c r="B1263" s="365"/>
      <c r="C1263" s="368"/>
      <c r="D1263" s="97">
        <v>113</v>
      </c>
      <c r="E1263" s="107">
        <v>1</v>
      </c>
    </row>
    <row r="1264" spans="1:5" ht="28">
      <c r="A1264" s="362"/>
      <c r="B1264" s="365"/>
      <c r="C1264" s="368"/>
      <c r="D1264" s="98" t="s">
        <v>11</v>
      </c>
      <c r="E1264" s="108">
        <v>8</v>
      </c>
    </row>
    <row r="1265" spans="1:5" ht="15">
      <c r="A1265" s="362"/>
      <c r="B1265" s="365"/>
      <c r="C1265" s="368" t="s">
        <v>34</v>
      </c>
      <c r="D1265" s="97">
        <v>115</v>
      </c>
      <c r="E1265" s="107">
        <v>2</v>
      </c>
    </row>
    <row r="1266" spans="1:5">
      <c r="A1266" s="362"/>
      <c r="B1266" s="365"/>
      <c r="C1266" s="368"/>
      <c r="D1266" s="98">
        <v>117</v>
      </c>
      <c r="E1266" s="108">
        <v>1</v>
      </c>
    </row>
    <row r="1267" spans="1:5" ht="15">
      <c r="A1267" s="362"/>
      <c r="B1267" s="365"/>
      <c r="C1267" s="368"/>
      <c r="D1267" s="97">
        <v>118</v>
      </c>
      <c r="E1267" s="107">
        <v>1</v>
      </c>
    </row>
    <row r="1268" spans="1:5" ht="28">
      <c r="A1268" s="362"/>
      <c r="B1268" s="365"/>
      <c r="C1268" s="368"/>
      <c r="D1268" s="98" t="s">
        <v>11</v>
      </c>
      <c r="E1268" s="108">
        <v>4</v>
      </c>
    </row>
    <row r="1269" spans="1:5" ht="15">
      <c r="A1269" s="362"/>
      <c r="B1269" s="365"/>
      <c r="C1269" s="368" t="s">
        <v>110</v>
      </c>
      <c r="D1269" s="97">
        <v>120</v>
      </c>
      <c r="E1269" s="107">
        <v>1</v>
      </c>
    </row>
    <row r="1270" spans="1:5">
      <c r="A1270" s="362"/>
      <c r="B1270" s="365"/>
      <c r="C1270" s="368"/>
      <c r="D1270" s="98">
        <v>121</v>
      </c>
      <c r="E1270" s="108">
        <v>1</v>
      </c>
    </row>
    <row r="1271" spans="1:5" ht="28">
      <c r="A1271" s="362"/>
      <c r="B1271" s="365"/>
      <c r="C1271" s="368"/>
      <c r="D1271" s="97" t="s">
        <v>11</v>
      </c>
      <c r="E1271" s="107">
        <v>2</v>
      </c>
    </row>
    <row r="1272" spans="1:5">
      <c r="A1272" s="362"/>
      <c r="B1272" s="365" t="s">
        <v>111</v>
      </c>
      <c r="C1272" s="368" t="s">
        <v>10</v>
      </c>
      <c r="D1272" s="98">
        <v>0</v>
      </c>
      <c r="E1272" s="108">
        <v>2075</v>
      </c>
    </row>
    <row r="1273" spans="1:5" ht="15">
      <c r="A1273" s="362"/>
      <c r="B1273" s="365"/>
      <c r="C1273" s="368"/>
      <c r="D1273" s="97">
        <v>1</v>
      </c>
      <c r="E1273" s="107">
        <v>2383</v>
      </c>
    </row>
    <row r="1274" spans="1:5">
      <c r="A1274" s="362"/>
      <c r="B1274" s="365"/>
      <c r="C1274" s="368"/>
      <c r="D1274" s="98">
        <v>2</v>
      </c>
      <c r="E1274" s="108">
        <v>2415</v>
      </c>
    </row>
    <row r="1275" spans="1:5" ht="15">
      <c r="A1275" s="362"/>
      <c r="B1275" s="365"/>
      <c r="C1275" s="368"/>
      <c r="D1275" s="97">
        <v>3</v>
      </c>
      <c r="E1275" s="107">
        <v>2474</v>
      </c>
    </row>
    <row r="1276" spans="1:5">
      <c r="A1276" s="362"/>
      <c r="B1276" s="365"/>
      <c r="C1276" s="368"/>
      <c r="D1276" s="98">
        <v>4</v>
      </c>
      <c r="E1276" s="108">
        <v>2436</v>
      </c>
    </row>
    <row r="1277" spans="1:5" ht="28">
      <c r="A1277" s="362"/>
      <c r="B1277" s="365"/>
      <c r="C1277" s="368"/>
      <c r="D1277" s="97" t="s">
        <v>11</v>
      </c>
      <c r="E1277" s="107">
        <v>11783</v>
      </c>
    </row>
    <row r="1278" spans="1:5">
      <c r="A1278" s="362"/>
      <c r="B1278" s="365"/>
      <c r="C1278" s="368" t="s">
        <v>12</v>
      </c>
      <c r="D1278" s="98">
        <v>5</v>
      </c>
      <c r="E1278" s="108">
        <v>2237</v>
      </c>
    </row>
    <row r="1279" spans="1:5" ht="15">
      <c r="A1279" s="362"/>
      <c r="B1279" s="365"/>
      <c r="C1279" s="368"/>
      <c r="D1279" s="97">
        <v>6</v>
      </c>
      <c r="E1279" s="107">
        <v>2383</v>
      </c>
    </row>
    <row r="1280" spans="1:5">
      <c r="A1280" s="362"/>
      <c r="B1280" s="365"/>
      <c r="C1280" s="368"/>
      <c r="D1280" s="98">
        <v>7</v>
      </c>
      <c r="E1280" s="108">
        <v>2219</v>
      </c>
    </row>
    <row r="1281" spans="1:5" ht="15">
      <c r="A1281" s="362"/>
      <c r="B1281" s="365"/>
      <c r="C1281" s="368"/>
      <c r="D1281" s="97">
        <v>8</v>
      </c>
      <c r="E1281" s="107">
        <v>2193</v>
      </c>
    </row>
    <row r="1282" spans="1:5">
      <c r="A1282" s="362"/>
      <c r="B1282" s="365"/>
      <c r="C1282" s="368"/>
      <c r="D1282" s="98">
        <v>9</v>
      </c>
      <c r="E1282" s="108">
        <v>2051</v>
      </c>
    </row>
    <row r="1283" spans="1:5" ht="28">
      <c r="A1283" s="362"/>
      <c r="B1283" s="365"/>
      <c r="C1283" s="368"/>
      <c r="D1283" s="97" t="s">
        <v>11</v>
      </c>
      <c r="E1283" s="107">
        <v>11083</v>
      </c>
    </row>
    <row r="1284" spans="1:5">
      <c r="A1284" s="362"/>
      <c r="B1284" s="365"/>
      <c r="C1284" s="368" t="s">
        <v>13</v>
      </c>
      <c r="D1284" s="98">
        <v>10</v>
      </c>
      <c r="E1284" s="108">
        <v>2055</v>
      </c>
    </row>
    <row r="1285" spans="1:5" ht="15">
      <c r="A1285" s="362"/>
      <c r="B1285" s="365"/>
      <c r="C1285" s="368"/>
      <c r="D1285" s="97">
        <v>11</v>
      </c>
      <c r="E1285" s="107">
        <v>1863</v>
      </c>
    </row>
    <row r="1286" spans="1:5">
      <c r="A1286" s="362"/>
      <c r="B1286" s="365"/>
      <c r="C1286" s="368"/>
      <c r="D1286" s="98">
        <v>12</v>
      </c>
      <c r="E1286" s="108">
        <v>1905</v>
      </c>
    </row>
    <row r="1287" spans="1:5" ht="15">
      <c r="A1287" s="362"/>
      <c r="B1287" s="365"/>
      <c r="C1287" s="368"/>
      <c r="D1287" s="97">
        <v>13</v>
      </c>
      <c r="E1287" s="107">
        <v>1925</v>
      </c>
    </row>
    <row r="1288" spans="1:5">
      <c r="A1288" s="362"/>
      <c r="B1288" s="365"/>
      <c r="C1288" s="368"/>
      <c r="D1288" s="98">
        <v>14</v>
      </c>
      <c r="E1288" s="108">
        <v>1863</v>
      </c>
    </row>
    <row r="1289" spans="1:5" ht="28">
      <c r="A1289" s="362"/>
      <c r="B1289" s="365"/>
      <c r="C1289" s="368"/>
      <c r="D1289" s="97" t="s">
        <v>11</v>
      </c>
      <c r="E1289" s="107">
        <v>9611</v>
      </c>
    </row>
    <row r="1290" spans="1:5">
      <c r="A1290" s="362"/>
      <c r="B1290" s="365"/>
      <c r="C1290" s="368" t="s">
        <v>14</v>
      </c>
      <c r="D1290" s="98">
        <v>15</v>
      </c>
      <c r="E1290" s="108">
        <v>1699</v>
      </c>
    </row>
    <row r="1291" spans="1:5" ht="15">
      <c r="A1291" s="362"/>
      <c r="B1291" s="365"/>
      <c r="C1291" s="368"/>
      <c r="D1291" s="97">
        <v>16</v>
      </c>
      <c r="E1291" s="107">
        <v>1730</v>
      </c>
    </row>
    <row r="1292" spans="1:5">
      <c r="A1292" s="362"/>
      <c r="B1292" s="365"/>
      <c r="C1292" s="368"/>
      <c r="D1292" s="98">
        <v>17</v>
      </c>
      <c r="E1292" s="108">
        <v>1648</v>
      </c>
    </row>
    <row r="1293" spans="1:5" ht="15">
      <c r="A1293" s="362"/>
      <c r="B1293" s="365"/>
      <c r="C1293" s="368"/>
      <c r="D1293" s="97">
        <v>18</v>
      </c>
      <c r="E1293" s="107">
        <v>1805</v>
      </c>
    </row>
    <row r="1294" spans="1:5">
      <c r="A1294" s="362"/>
      <c r="B1294" s="365"/>
      <c r="C1294" s="368"/>
      <c r="D1294" s="98">
        <v>19</v>
      </c>
      <c r="E1294" s="108">
        <v>1603</v>
      </c>
    </row>
    <row r="1295" spans="1:5" ht="28">
      <c r="A1295" s="362"/>
      <c r="B1295" s="365"/>
      <c r="C1295" s="368"/>
      <c r="D1295" s="97" t="s">
        <v>11</v>
      </c>
      <c r="E1295" s="107">
        <v>8485</v>
      </c>
    </row>
    <row r="1296" spans="1:5">
      <c r="A1296" s="362"/>
      <c r="B1296" s="365"/>
      <c r="C1296" s="368" t="s">
        <v>15</v>
      </c>
      <c r="D1296" s="98">
        <v>20</v>
      </c>
      <c r="E1296" s="108">
        <v>1465</v>
      </c>
    </row>
    <row r="1297" spans="1:5" ht="15">
      <c r="A1297" s="362"/>
      <c r="B1297" s="365"/>
      <c r="C1297" s="368"/>
      <c r="D1297" s="97">
        <v>21</v>
      </c>
      <c r="E1297" s="107">
        <v>1490</v>
      </c>
    </row>
    <row r="1298" spans="1:5">
      <c r="A1298" s="362"/>
      <c r="B1298" s="365"/>
      <c r="C1298" s="368"/>
      <c r="D1298" s="98">
        <v>22</v>
      </c>
      <c r="E1298" s="108">
        <v>1231</v>
      </c>
    </row>
    <row r="1299" spans="1:5" ht="15">
      <c r="A1299" s="362"/>
      <c r="B1299" s="365"/>
      <c r="C1299" s="368"/>
      <c r="D1299" s="97">
        <v>23</v>
      </c>
      <c r="E1299" s="107">
        <v>1254</v>
      </c>
    </row>
    <row r="1300" spans="1:5">
      <c r="A1300" s="362"/>
      <c r="B1300" s="365"/>
      <c r="C1300" s="368"/>
      <c r="D1300" s="98">
        <v>24</v>
      </c>
      <c r="E1300" s="108">
        <v>1181</v>
      </c>
    </row>
    <row r="1301" spans="1:5" ht="28">
      <c r="A1301" s="362"/>
      <c r="B1301" s="365"/>
      <c r="C1301" s="368"/>
      <c r="D1301" s="97" t="s">
        <v>11</v>
      </c>
      <c r="E1301" s="107">
        <v>6621</v>
      </c>
    </row>
    <row r="1302" spans="1:5">
      <c r="A1302" s="362"/>
      <c r="B1302" s="365"/>
      <c r="C1302" s="368" t="s">
        <v>16</v>
      </c>
      <c r="D1302" s="98">
        <v>25</v>
      </c>
      <c r="E1302" s="108">
        <v>1214</v>
      </c>
    </row>
    <row r="1303" spans="1:5" ht="15">
      <c r="A1303" s="362"/>
      <c r="B1303" s="365"/>
      <c r="C1303" s="368"/>
      <c r="D1303" s="97">
        <v>26</v>
      </c>
      <c r="E1303" s="107">
        <v>1085</v>
      </c>
    </row>
    <row r="1304" spans="1:5">
      <c r="A1304" s="362"/>
      <c r="B1304" s="365"/>
      <c r="C1304" s="368"/>
      <c r="D1304" s="98">
        <v>27</v>
      </c>
      <c r="E1304" s="108">
        <v>980</v>
      </c>
    </row>
    <row r="1305" spans="1:5" ht="15">
      <c r="A1305" s="362"/>
      <c r="B1305" s="365"/>
      <c r="C1305" s="368"/>
      <c r="D1305" s="97">
        <v>28</v>
      </c>
      <c r="E1305" s="107">
        <v>811</v>
      </c>
    </row>
    <row r="1306" spans="1:5">
      <c r="A1306" s="362"/>
      <c r="B1306" s="365"/>
      <c r="C1306" s="368"/>
      <c r="D1306" s="98">
        <v>29</v>
      </c>
      <c r="E1306" s="108">
        <v>790</v>
      </c>
    </row>
    <row r="1307" spans="1:5" ht="28">
      <c r="A1307" s="362"/>
      <c r="B1307" s="365"/>
      <c r="C1307" s="368"/>
      <c r="D1307" s="97" t="s">
        <v>11</v>
      </c>
      <c r="E1307" s="107">
        <v>4880</v>
      </c>
    </row>
    <row r="1308" spans="1:5">
      <c r="A1308" s="362"/>
      <c r="B1308" s="365"/>
      <c r="C1308" s="368" t="s">
        <v>17</v>
      </c>
      <c r="D1308" s="98">
        <v>30</v>
      </c>
      <c r="E1308" s="108">
        <v>1419</v>
      </c>
    </row>
    <row r="1309" spans="1:5" ht="15">
      <c r="A1309" s="362"/>
      <c r="B1309" s="365"/>
      <c r="C1309" s="368"/>
      <c r="D1309" s="97">
        <v>31</v>
      </c>
      <c r="E1309" s="107">
        <v>903</v>
      </c>
    </row>
    <row r="1310" spans="1:5">
      <c r="A1310" s="362"/>
      <c r="B1310" s="365"/>
      <c r="C1310" s="368"/>
      <c r="D1310" s="98">
        <v>32</v>
      </c>
      <c r="E1310" s="108">
        <v>752</v>
      </c>
    </row>
    <row r="1311" spans="1:5" ht="15">
      <c r="A1311" s="362"/>
      <c r="B1311" s="365"/>
      <c r="C1311" s="368"/>
      <c r="D1311" s="97">
        <v>33</v>
      </c>
      <c r="E1311" s="107">
        <v>736</v>
      </c>
    </row>
    <row r="1312" spans="1:5">
      <c r="A1312" s="362"/>
      <c r="B1312" s="365"/>
      <c r="C1312" s="368"/>
      <c r="D1312" s="98">
        <v>34</v>
      </c>
      <c r="E1312" s="108">
        <v>812</v>
      </c>
    </row>
    <row r="1313" spans="1:5" ht="28">
      <c r="A1313" s="362"/>
      <c r="B1313" s="365"/>
      <c r="C1313" s="368"/>
      <c r="D1313" s="97" t="s">
        <v>11</v>
      </c>
      <c r="E1313" s="107">
        <v>4622</v>
      </c>
    </row>
    <row r="1314" spans="1:5">
      <c r="A1314" s="362"/>
      <c r="B1314" s="365"/>
      <c r="C1314" s="368" t="s">
        <v>18</v>
      </c>
      <c r="D1314" s="98">
        <v>35</v>
      </c>
      <c r="E1314" s="108">
        <v>761</v>
      </c>
    </row>
    <row r="1315" spans="1:5" ht="15">
      <c r="A1315" s="362"/>
      <c r="B1315" s="365"/>
      <c r="C1315" s="368"/>
      <c r="D1315" s="97">
        <v>36</v>
      </c>
      <c r="E1315" s="107">
        <v>946</v>
      </c>
    </row>
    <row r="1316" spans="1:5">
      <c r="A1316" s="362"/>
      <c r="B1316" s="365"/>
      <c r="C1316" s="368"/>
      <c r="D1316" s="98">
        <v>37</v>
      </c>
      <c r="E1316" s="108">
        <v>768</v>
      </c>
    </row>
    <row r="1317" spans="1:5" ht="15">
      <c r="A1317" s="362"/>
      <c r="B1317" s="365"/>
      <c r="C1317" s="368"/>
      <c r="D1317" s="97">
        <v>38</v>
      </c>
      <c r="E1317" s="107">
        <v>625</v>
      </c>
    </row>
    <row r="1318" spans="1:5">
      <c r="A1318" s="362"/>
      <c r="B1318" s="365"/>
      <c r="C1318" s="368"/>
      <c r="D1318" s="98">
        <v>39</v>
      </c>
      <c r="E1318" s="108">
        <v>938</v>
      </c>
    </row>
    <row r="1319" spans="1:5" ht="28">
      <c r="A1319" s="362"/>
      <c r="B1319" s="365"/>
      <c r="C1319" s="368"/>
      <c r="D1319" s="97" t="s">
        <v>11</v>
      </c>
      <c r="E1319" s="107">
        <v>4038</v>
      </c>
    </row>
    <row r="1320" spans="1:5">
      <c r="A1320" s="362"/>
      <c r="B1320" s="365"/>
      <c r="C1320" s="368" t="s">
        <v>19</v>
      </c>
      <c r="D1320" s="98">
        <v>40</v>
      </c>
      <c r="E1320" s="108">
        <v>767</v>
      </c>
    </row>
    <row r="1321" spans="1:5" ht="15">
      <c r="A1321" s="362"/>
      <c r="B1321" s="365"/>
      <c r="C1321" s="368"/>
      <c r="D1321" s="97">
        <v>41</v>
      </c>
      <c r="E1321" s="107">
        <v>522</v>
      </c>
    </row>
    <row r="1322" spans="1:5">
      <c r="A1322" s="362"/>
      <c r="B1322" s="365"/>
      <c r="C1322" s="368"/>
      <c r="D1322" s="98">
        <v>42</v>
      </c>
      <c r="E1322" s="108">
        <v>552</v>
      </c>
    </row>
    <row r="1323" spans="1:5" ht="15">
      <c r="A1323" s="362"/>
      <c r="B1323" s="365"/>
      <c r="C1323" s="368"/>
      <c r="D1323" s="97">
        <v>43</v>
      </c>
      <c r="E1323" s="107">
        <v>775</v>
      </c>
    </row>
    <row r="1324" spans="1:5">
      <c r="A1324" s="362"/>
      <c r="B1324" s="365"/>
      <c r="C1324" s="368"/>
      <c r="D1324" s="98">
        <v>44</v>
      </c>
      <c r="E1324" s="108">
        <v>615</v>
      </c>
    </row>
    <row r="1325" spans="1:5" ht="28">
      <c r="A1325" s="362"/>
      <c r="B1325" s="365"/>
      <c r="C1325" s="368"/>
      <c r="D1325" s="97" t="s">
        <v>11</v>
      </c>
      <c r="E1325" s="107">
        <v>3231</v>
      </c>
    </row>
    <row r="1326" spans="1:5">
      <c r="A1326" s="362"/>
      <c r="B1326" s="365"/>
      <c r="C1326" s="368" t="s">
        <v>20</v>
      </c>
      <c r="D1326" s="98">
        <v>45</v>
      </c>
      <c r="E1326" s="108">
        <v>571</v>
      </c>
    </row>
    <row r="1327" spans="1:5" ht="15">
      <c r="A1327" s="362"/>
      <c r="B1327" s="365"/>
      <c r="C1327" s="368"/>
      <c r="D1327" s="97">
        <v>46</v>
      </c>
      <c r="E1327" s="107">
        <v>491</v>
      </c>
    </row>
    <row r="1328" spans="1:5">
      <c r="A1328" s="362"/>
      <c r="B1328" s="365"/>
      <c r="C1328" s="368"/>
      <c r="D1328" s="98">
        <v>47</v>
      </c>
      <c r="E1328" s="108">
        <v>528</v>
      </c>
    </row>
    <row r="1329" spans="1:5" ht="15">
      <c r="A1329" s="362"/>
      <c r="B1329" s="365"/>
      <c r="C1329" s="368"/>
      <c r="D1329" s="97">
        <v>48</v>
      </c>
      <c r="E1329" s="107">
        <v>525</v>
      </c>
    </row>
    <row r="1330" spans="1:5">
      <c r="A1330" s="362"/>
      <c r="B1330" s="365"/>
      <c r="C1330" s="368"/>
      <c r="D1330" s="98">
        <v>49</v>
      </c>
      <c r="E1330" s="108">
        <v>411</v>
      </c>
    </row>
    <row r="1331" spans="1:5" ht="28">
      <c r="A1331" s="362"/>
      <c r="B1331" s="365"/>
      <c r="C1331" s="368"/>
      <c r="D1331" s="97" t="s">
        <v>11</v>
      </c>
      <c r="E1331" s="107">
        <v>2526</v>
      </c>
    </row>
    <row r="1332" spans="1:5">
      <c r="A1332" s="362"/>
      <c r="B1332" s="365"/>
      <c r="C1332" s="368" t="s">
        <v>21</v>
      </c>
      <c r="D1332" s="98">
        <v>50</v>
      </c>
      <c r="E1332" s="108">
        <v>378</v>
      </c>
    </row>
    <row r="1333" spans="1:5" ht="15">
      <c r="A1333" s="362"/>
      <c r="B1333" s="365"/>
      <c r="C1333" s="368"/>
      <c r="D1333" s="97">
        <v>51</v>
      </c>
      <c r="E1333" s="107">
        <v>442</v>
      </c>
    </row>
    <row r="1334" spans="1:5">
      <c r="A1334" s="362"/>
      <c r="B1334" s="365"/>
      <c r="C1334" s="368"/>
      <c r="D1334" s="98">
        <v>52</v>
      </c>
      <c r="E1334" s="108">
        <v>407</v>
      </c>
    </row>
    <row r="1335" spans="1:5" ht="15">
      <c r="A1335" s="362"/>
      <c r="B1335" s="365"/>
      <c r="C1335" s="368"/>
      <c r="D1335" s="97">
        <v>53</v>
      </c>
      <c r="E1335" s="107">
        <v>405</v>
      </c>
    </row>
    <row r="1336" spans="1:5">
      <c r="A1336" s="362"/>
      <c r="B1336" s="365"/>
      <c r="C1336" s="368"/>
      <c r="D1336" s="98">
        <v>54</v>
      </c>
      <c r="E1336" s="108">
        <v>363</v>
      </c>
    </row>
    <row r="1337" spans="1:5" ht="28">
      <c r="A1337" s="362"/>
      <c r="B1337" s="365"/>
      <c r="C1337" s="368"/>
      <c r="D1337" s="97" t="s">
        <v>11</v>
      </c>
      <c r="E1337" s="107">
        <v>1995</v>
      </c>
    </row>
    <row r="1338" spans="1:5">
      <c r="A1338" s="362"/>
      <c r="B1338" s="365"/>
      <c r="C1338" s="368" t="s">
        <v>22</v>
      </c>
      <c r="D1338" s="98">
        <v>55</v>
      </c>
      <c r="E1338" s="108">
        <v>351</v>
      </c>
    </row>
    <row r="1339" spans="1:5" ht="15">
      <c r="A1339" s="362"/>
      <c r="B1339" s="365"/>
      <c r="C1339" s="368"/>
      <c r="D1339" s="97">
        <v>56</v>
      </c>
      <c r="E1339" s="107">
        <v>398</v>
      </c>
    </row>
    <row r="1340" spans="1:5">
      <c r="A1340" s="362"/>
      <c r="B1340" s="365"/>
      <c r="C1340" s="368"/>
      <c r="D1340" s="98">
        <v>57</v>
      </c>
      <c r="E1340" s="108">
        <v>353</v>
      </c>
    </row>
    <row r="1341" spans="1:5" ht="15">
      <c r="A1341" s="362"/>
      <c r="B1341" s="365"/>
      <c r="C1341" s="368"/>
      <c r="D1341" s="97">
        <v>58</v>
      </c>
      <c r="E1341" s="107">
        <v>330</v>
      </c>
    </row>
    <row r="1342" spans="1:5">
      <c r="A1342" s="362"/>
      <c r="B1342" s="365"/>
      <c r="C1342" s="368"/>
      <c r="D1342" s="98">
        <v>59</v>
      </c>
      <c r="E1342" s="108">
        <v>318</v>
      </c>
    </row>
    <row r="1343" spans="1:5" ht="28">
      <c r="A1343" s="362"/>
      <c r="B1343" s="365"/>
      <c r="C1343" s="368"/>
      <c r="D1343" s="97" t="s">
        <v>11</v>
      </c>
      <c r="E1343" s="107">
        <v>1750</v>
      </c>
    </row>
    <row r="1344" spans="1:5">
      <c r="A1344" s="362"/>
      <c r="B1344" s="365"/>
      <c r="C1344" s="368" t="s">
        <v>23</v>
      </c>
      <c r="D1344" s="98">
        <v>60</v>
      </c>
      <c r="E1344" s="108">
        <v>293</v>
      </c>
    </row>
    <row r="1345" spans="1:5" ht="15">
      <c r="A1345" s="362"/>
      <c r="B1345" s="365"/>
      <c r="C1345" s="368"/>
      <c r="D1345" s="97">
        <v>61</v>
      </c>
      <c r="E1345" s="107">
        <v>228</v>
      </c>
    </row>
    <row r="1346" spans="1:5">
      <c r="A1346" s="362"/>
      <c r="B1346" s="365"/>
      <c r="C1346" s="368"/>
      <c r="D1346" s="98">
        <v>62</v>
      </c>
      <c r="E1346" s="108">
        <v>196</v>
      </c>
    </row>
    <row r="1347" spans="1:5" ht="15">
      <c r="A1347" s="362"/>
      <c r="B1347" s="365"/>
      <c r="C1347" s="368"/>
      <c r="D1347" s="97">
        <v>63</v>
      </c>
      <c r="E1347" s="107">
        <v>150</v>
      </c>
    </row>
    <row r="1348" spans="1:5">
      <c r="A1348" s="362"/>
      <c r="B1348" s="365"/>
      <c r="C1348" s="368"/>
      <c r="D1348" s="98">
        <v>64</v>
      </c>
      <c r="E1348" s="108">
        <v>141</v>
      </c>
    </row>
    <row r="1349" spans="1:5" ht="28">
      <c r="A1349" s="362"/>
      <c r="B1349" s="365"/>
      <c r="C1349" s="368"/>
      <c r="D1349" s="97" t="s">
        <v>11</v>
      </c>
      <c r="E1349" s="107">
        <v>1008</v>
      </c>
    </row>
    <row r="1350" spans="1:5">
      <c r="A1350" s="362"/>
      <c r="B1350" s="365"/>
      <c r="C1350" s="368" t="s">
        <v>24</v>
      </c>
      <c r="D1350" s="98">
        <v>65</v>
      </c>
      <c r="E1350" s="108">
        <v>159</v>
      </c>
    </row>
    <row r="1351" spans="1:5" ht="15">
      <c r="A1351" s="362"/>
      <c r="B1351" s="365"/>
      <c r="C1351" s="368"/>
      <c r="D1351" s="97">
        <v>66</v>
      </c>
      <c r="E1351" s="107">
        <v>203</v>
      </c>
    </row>
    <row r="1352" spans="1:5">
      <c r="A1352" s="362"/>
      <c r="B1352" s="365"/>
      <c r="C1352" s="368"/>
      <c r="D1352" s="98">
        <v>67</v>
      </c>
      <c r="E1352" s="108">
        <v>295</v>
      </c>
    </row>
    <row r="1353" spans="1:5" ht="15">
      <c r="A1353" s="362"/>
      <c r="B1353" s="365"/>
      <c r="C1353" s="368"/>
      <c r="D1353" s="97">
        <v>68</v>
      </c>
      <c r="E1353" s="107">
        <v>218</v>
      </c>
    </row>
    <row r="1354" spans="1:5">
      <c r="A1354" s="362"/>
      <c r="B1354" s="365"/>
      <c r="C1354" s="368"/>
      <c r="D1354" s="98">
        <v>69</v>
      </c>
      <c r="E1354" s="108">
        <v>157</v>
      </c>
    </row>
    <row r="1355" spans="1:5" ht="28">
      <c r="A1355" s="362"/>
      <c r="B1355" s="365"/>
      <c r="C1355" s="368"/>
      <c r="D1355" s="97" t="s">
        <v>11</v>
      </c>
      <c r="E1355" s="107">
        <v>1032</v>
      </c>
    </row>
    <row r="1356" spans="1:5">
      <c r="A1356" s="362"/>
      <c r="B1356" s="365"/>
      <c r="C1356" s="368" t="s">
        <v>25</v>
      </c>
      <c r="D1356" s="98">
        <v>70</v>
      </c>
      <c r="E1356" s="108">
        <v>283</v>
      </c>
    </row>
    <row r="1357" spans="1:5" ht="15">
      <c r="A1357" s="362"/>
      <c r="B1357" s="365"/>
      <c r="C1357" s="368"/>
      <c r="D1357" s="97">
        <v>71</v>
      </c>
      <c r="E1357" s="107">
        <v>147</v>
      </c>
    </row>
    <row r="1358" spans="1:5">
      <c r="A1358" s="362"/>
      <c r="B1358" s="365"/>
      <c r="C1358" s="368"/>
      <c r="D1358" s="98">
        <v>72</v>
      </c>
      <c r="E1358" s="108">
        <v>150</v>
      </c>
    </row>
    <row r="1359" spans="1:5" ht="15">
      <c r="A1359" s="362"/>
      <c r="B1359" s="365"/>
      <c r="C1359" s="368"/>
      <c r="D1359" s="97">
        <v>73</v>
      </c>
      <c r="E1359" s="107">
        <v>111</v>
      </c>
    </row>
    <row r="1360" spans="1:5">
      <c r="A1360" s="362"/>
      <c r="B1360" s="365"/>
      <c r="C1360" s="368"/>
      <c r="D1360" s="98">
        <v>74</v>
      </c>
      <c r="E1360" s="108">
        <v>120</v>
      </c>
    </row>
    <row r="1361" spans="1:5" ht="28">
      <c r="A1361" s="362"/>
      <c r="B1361" s="365"/>
      <c r="C1361" s="368"/>
      <c r="D1361" s="97" t="s">
        <v>11</v>
      </c>
      <c r="E1361" s="107">
        <v>811</v>
      </c>
    </row>
    <row r="1362" spans="1:5">
      <c r="A1362" s="362"/>
      <c r="B1362" s="365"/>
      <c r="C1362" s="368" t="s">
        <v>26</v>
      </c>
      <c r="D1362" s="98">
        <v>75</v>
      </c>
      <c r="E1362" s="108">
        <v>98</v>
      </c>
    </row>
    <row r="1363" spans="1:5" ht="15">
      <c r="A1363" s="362"/>
      <c r="B1363" s="365"/>
      <c r="C1363" s="368"/>
      <c r="D1363" s="97">
        <v>76</v>
      </c>
      <c r="E1363" s="107">
        <v>68</v>
      </c>
    </row>
    <row r="1364" spans="1:5">
      <c r="A1364" s="362"/>
      <c r="B1364" s="365"/>
      <c r="C1364" s="368"/>
      <c r="D1364" s="98">
        <v>77</v>
      </c>
      <c r="E1364" s="108">
        <v>154</v>
      </c>
    </row>
    <row r="1365" spans="1:5" ht="15">
      <c r="A1365" s="362"/>
      <c r="B1365" s="365"/>
      <c r="C1365" s="368"/>
      <c r="D1365" s="97">
        <v>78</v>
      </c>
      <c r="E1365" s="107">
        <v>104</v>
      </c>
    </row>
    <row r="1366" spans="1:5">
      <c r="A1366" s="362"/>
      <c r="B1366" s="365"/>
      <c r="C1366" s="368"/>
      <c r="D1366" s="98">
        <v>79</v>
      </c>
      <c r="E1366" s="108">
        <v>105</v>
      </c>
    </row>
    <row r="1367" spans="1:5" ht="28">
      <c r="A1367" s="362"/>
      <c r="B1367" s="365"/>
      <c r="C1367" s="368"/>
      <c r="D1367" s="97" t="s">
        <v>11</v>
      </c>
      <c r="E1367" s="107">
        <v>529</v>
      </c>
    </row>
    <row r="1368" spans="1:5">
      <c r="A1368" s="362"/>
      <c r="B1368" s="365"/>
      <c r="C1368" s="368" t="s">
        <v>27</v>
      </c>
      <c r="D1368" s="98">
        <v>80</v>
      </c>
      <c r="E1368" s="108">
        <v>83</v>
      </c>
    </row>
    <row r="1369" spans="1:5" ht="15">
      <c r="A1369" s="362"/>
      <c r="B1369" s="365"/>
      <c r="C1369" s="368"/>
      <c r="D1369" s="97">
        <v>81</v>
      </c>
      <c r="E1369" s="107">
        <v>59</v>
      </c>
    </row>
    <row r="1370" spans="1:5">
      <c r="A1370" s="362"/>
      <c r="B1370" s="365"/>
      <c r="C1370" s="368"/>
      <c r="D1370" s="98">
        <v>82</v>
      </c>
      <c r="E1370" s="108">
        <v>58</v>
      </c>
    </row>
    <row r="1371" spans="1:5" ht="15">
      <c r="A1371" s="362"/>
      <c r="B1371" s="365"/>
      <c r="C1371" s="368"/>
      <c r="D1371" s="97">
        <v>83</v>
      </c>
      <c r="E1371" s="107">
        <v>36</v>
      </c>
    </row>
    <row r="1372" spans="1:5">
      <c r="A1372" s="362"/>
      <c r="B1372" s="365"/>
      <c r="C1372" s="368"/>
      <c r="D1372" s="98">
        <v>84</v>
      </c>
      <c r="E1372" s="108">
        <v>30</v>
      </c>
    </row>
    <row r="1373" spans="1:5" ht="28">
      <c r="A1373" s="362"/>
      <c r="B1373" s="365"/>
      <c r="C1373" s="368"/>
      <c r="D1373" s="97" t="s">
        <v>11</v>
      </c>
      <c r="E1373" s="107">
        <v>266</v>
      </c>
    </row>
    <row r="1374" spans="1:5">
      <c r="A1374" s="362"/>
      <c r="B1374" s="365"/>
      <c r="C1374" s="368" t="s">
        <v>28</v>
      </c>
      <c r="D1374" s="98">
        <v>85</v>
      </c>
      <c r="E1374" s="108">
        <v>30</v>
      </c>
    </row>
    <row r="1375" spans="1:5" ht="15">
      <c r="A1375" s="362"/>
      <c r="B1375" s="365"/>
      <c r="C1375" s="368"/>
      <c r="D1375" s="97">
        <v>86</v>
      </c>
      <c r="E1375" s="107">
        <v>20</v>
      </c>
    </row>
    <row r="1376" spans="1:5">
      <c r="A1376" s="362"/>
      <c r="B1376" s="365"/>
      <c r="C1376" s="368"/>
      <c r="D1376" s="98">
        <v>87</v>
      </c>
      <c r="E1376" s="108">
        <v>56</v>
      </c>
    </row>
    <row r="1377" spans="1:5" ht="15">
      <c r="A1377" s="362"/>
      <c r="B1377" s="365"/>
      <c r="C1377" s="368"/>
      <c r="D1377" s="97">
        <v>88</v>
      </c>
      <c r="E1377" s="107">
        <v>25</v>
      </c>
    </row>
    <row r="1378" spans="1:5">
      <c r="A1378" s="362"/>
      <c r="B1378" s="365"/>
      <c r="C1378" s="368"/>
      <c r="D1378" s="98">
        <v>89</v>
      </c>
      <c r="E1378" s="108">
        <v>21</v>
      </c>
    </row>
    <row r="1379" spans="1:5" ht="28">
      <c r="A1379" s="362"/>
      <c r="B1379" s="365"/>
      <c r="C1379" s="368"/>
      <c r="D1379" s="97" t="s">
        <v>11</v>
      </c>
      <c r="E1379" s="107">
        <v>152</v>
      </c>
    </row>
    <row r="1380" spans="1:5">
      <c r="A1380" s="362"/>
      <c r="B1380" s="365"/>
      <c r="C1380" s="368" t="s">
        <v>29</v>
      </c>
      <c r="D1380" s="98">
        <v>90</v>
      </c>
      <c r="E1380" s="108">
        <v>17</v>
      </c>
    </row>
    <row r="1381" spans="1:5" ht="15">
      <c r="A1381" s="362"/>
      <c r="B1381" s="365"/>
      <c r="C1381" s="368"/>
      <c r="D1381" s="97">
        <v>91</v>
      </c>
      <c r="E1381" s="107">
        <v>13</v>
      </c>
    </row>
    <row r="1382" spans="1:5">
      <c r="A1382" s="362"/>
      <c r="B1382" s="365"/>
      <c r="C1382" s="368"/>
      <c r="D1382" s="98">
        <v>92</v>
      </c>
      <c r="E1382" s="108">
        <v>12</v>
      </c>
    </row>
    <row r="1383" spans="1:5" ht="15">
      <c r="A1383" s="362"/>
      <c r="B1383" s="365"/>
      <c r="C1383" s="368"/>
      <c r="D1383" s="97">
        <v>93</v>
      </c>
      <c r="E1383" s="107">
        <v>10</v>
      </c>
    </row>
    <row r="1384" spans="1:5">
      <c r="A1384" s="362"/>
      <c r="B1384" s="365"/>
      <c r="C1384" s="368"/>
      <c r="D1384" s="98">
        <v>94</v>
      </c>
      <c r="E1384" s="108">
        <v>9</v>
      </c>
    </row>
    <row r="1385" spans="1:5" ht="28">
      <c r="A1385" s="362"/>
      <c r="B1385" s="365"/>
      <c r="C1385" s="368"/>
      <c r="D1385" s="97" t="s">
        <v>11</v>
      </c>
      <c r="E1385" s="107">
        <v>61</v>
      </c>
    </row>
    <row r="1386" spans="1:5">
      <c r="A1386" s="362"/>
      <c r="B1386" s="365"/>
      <c r="C1386" s="368" t="s">
        <v>30</v>
      </c>
      <c r="D1386" s="98">
        <v>95</v>
      </c>
      <c r="E1386" s="108">
        <v>5</v>
      </c>
    </row>
    <row r="1387" spans="1:5" ht="15">
      <c r="A1387" s="362"/>
      <c r="B1387" s="365"/>
      <c r="C1387" s="368"/>
      <c r="D1387" s="97">
        <v>96</v>
      </c>
      <c r="E1387" s="107">
        <v>4</v>
      </c>
    </row>
    <row r="1388" spans="1:5">
      <c r="A1388" s="362"/>
      <c r="B1388" s="365"/>
      <c r="C1388" s="368"/>
      <c r="D1388" s="98">
        <v>97</v>
      </c>
      <c r="E1388" s="108">
        <v>14</v>
      </c>
    </row>
    <row r="1389" spans="1:5" ht="15">
      <c r="A1389" s="362"/>
      <c r="B1389" s="365"/>
      <c r="C1389" s="368"/>
      <c r="D1389" s="97">
        <v>98</v>
      </c>
      <c r="E1389" s="107">
        <v>7</v>
      </c>
    </row>
    <row r="1390" spans="1:5">
      <c r="A1390" s="362"/>
      <c r="B1390" s="365"/>
      <c r="C1390" s="368"/>
      <c r="D1390" s="98">
        <v>99</v>
      </c>
      <c r="E1390" s="108">
        <v>2</v>
      </c>
    </row>
    <row r="1391" spans="1:5" ht="28">
      <c r="A1391" s="362"/>
      <c r="B1391" s="365"/>
      <c r="C1391" s="368"/>
      <c r="D1391" s="97" t="s">
        <v>11</v>
      </c>
      <c r="E1391" s="107">
        <v>32</v>
      </c>
    </row>
    <row r="1392" spans="1:5">
      <c r="A1392" s="362"/>
      <c r="B1392" s="365"/>
      <c r="C1392" s="368" t="s">
        <v>31</v>
      </c>
      <c r="D1392" s="98">
        <v>100</v>
      </c>
      <c r="E1392" s="108">
        <v>1</v>
      </c>
    </row>
    <row r="1393" spans="1:5" ht="15">
      <c r="A1393" s="362"/>
      <c r="B1393" s="365"/>
      <c r="C1393" s="368"/>
      <c r="D1393" s="97">
        <v>101</v>
      </c>
      <c r="E1393" s="107">
        <v>2</v>
      </c>
    </row>
    <row r="1394" spans="1:5">
      <c r="A1394" s="362"/>
      <c r="B1394" s="365"/>
      <c r="C1394" s="368"/>
      <c r="D1394" s="98">
        <v>102</v>
      </c>
      <c r="E1394" s="108">
        <v>4</v>
      </c>
    </row>
    <row r="1395" spans="1:5" ht="28">
      <c r="A1395" s="362"/>
      <c r="B1395" s="365"/>
      <c r="C1395" s="368"/>
      <c r="D1395" s="97" t="s">
        <v>11</v>
      </c>
      <c r="E1395" s="107">
        <v>7</v>
      </c>
    </row>
    <row r="1396" spans="1:5">
      <c r="A1396" s="362"/>
      <c r="B1396" s="365"/>
      <c r="C1396" s="368" t="s">
        <v>32</v>
      </c>
      <c r="D1396" s="98">
        <v>105</v>
      </c>
      <c r="E1396" s="108">
        <v>1</v>
      </c>
    </row>
    <row r="1397" spans="1:5" ht="15">
      <c r="A1397" s="362"/>
      <c r="B1397" s="365"/>
      <c r="C1397" s="368"/>
      <c r="D1397" s="97">
        <v>107</v>
      </c>
      <c r="E1397" s="107">
        <v>2</v>
      </c>
    </row>
    <row r="1398" spans="1:5">
      <c r="A1398" s="362"/>
      <c r="B1398" s="365"/>
      <c r="C1398" s="368"/>
      <c r="D1398" s="98">
        <v>108</v>
      </c>
      <c r="E1398" s="108">
        <v>1</v>
      </c>
    </row>
    <row r="1399" spans="1:5" ht="28">
      <c r="A1399" s="362"/>
      <c r="B1399" s="365"/>
      <c r="C1399" s="368"/>
      <c r="D1399" s="97" t="s">
        <v>11</v>
      </c>
      <c r="E1399" s="107">
        <v>4</v>
      </c>
    </row>
    <row r="1400" spans="1:5">
      <c r="A1400" s="362"/>
      <c r="B1400" s="365"/>
      <c r="C1400" s="368" t="s">
        <v>33</v>
      </c>
      <c r="D1400" s="98">
        <v>111</v>
      </c>
      <c r="E1400" s="108">
        <v>1</v>
      </c>
    </row>
    <row r="1401" spans="1:5" ht="28">
      <c r="A1401" s="362"/>
      <c r="B1401" s="365"/>
      <c r="C1401" s="368"/>
      <c r="D1401" s="97" t="s">
        <v>11</v>
      </c>
      <c r="E1401" s="107">
        <v>1</v>
      </c>
    </row>
    <row r="1402" spans="1:5">
      <c r="A1402" s="362"/>
      <c r="B1402" s="365" t="s">
        <v>112</v>
      </c>
      <c r="C1402" s="368" t="s">
        <v>10</v>
      </c>
      <c r="D1402" s="98">
        <v>0</v>
      </c>
      <c r="E1402" s="108">
        <v>808</v>
      </c>
    </row>
    <row r="1403" spans="1:5" ht="15">
      <c r="A1403" s="362"/>
      <c r="B1403" s="365"/>
      <c r="C1403" s="368"/>
      <c r="D1403" s="97">
        <v>1</v>
      </c>
      <c r="E1403" s="107">
        <v>801</v>
      </c>
    </row>
    <row r="1404" spans="1:5">
      <c r="A1404" s="362"/>
      <c r="B1404" s="365"/>
      <c r="C1404" s="368"/>
      <c r="D1404" s="98">
        <v>2</v>
      </c>
      <c r="E1404" s="108">
        <v>823</v>
      </c>
    </row>
    <row r="1405" spans="1:5" ht="15">
      <c r="A1405" s="362"/>
      <c r="B1405" s="365"/>
      <c r="C1405" s="368"/>
      <c r="D1405" s="97">
        <v>3</v>
      </c>
      <c r="E1405" s="107">
        <v>841</v>
      </c>
    </row>
    <row r="1406" spans="1:5">
      <c r="A1406" s="362"/>
      <c r="B1406" s="365"/>
      <c r="C1406" s="368"/>
      <c r="D1406" s="98">
        <v>4</v>
      </c>
      <c r="E1406" s="108">
        <v>822</v>
      </c>
    </row>
    <row r="1407" spans="1:5" ht="28">
      <c r="A1407" s="362"/>
      <c r="B1407" s="365"/>
      <c r="C1407" s="368"/>
      <c r="D1407" s="97" t="s">
        <v>11</v>
      </c>
      <c r="E1407" s="107">
        <v>4095</v>
      </c>
    </row>
    <row r="1408" spans="1:5">
      <c r="A1408" s="362"/>
      <c r="B1408" s="365"/>
      <c r="C1408" s="368" t="s">
        <v>12</v>
      </c>
      <c r="D1408" s="98">
        <v>5</v>
      </c>
      <c r="E1408" s="108">
        <v>888</v>
      </c>
    </row>
    <row r="1409" spans="1:5" ht="15">
      <c r="A1409" s="362"/>
      <c r="B1409" s="365"/>
      <c r="C1409" s="368"/>
      <c r="D1409" s="97">
        <v>6</v>
      </c>
      <c r="E1409" s="107">
        <v>938</v>
      </c>
    </row>
    <row r="1410" spans="1:5">
      <c r="A1410" s="362"/>
      <c r="B1410" s="365"/>
      <c r="C1410" s="368"/>
      <c r="D1410" s="98">
        <v>7</v>
      </c>
      <c r="E1410" s="108">
        <v>839</v>
      </c>
    </row>
    <row r="1411" spans="1:5" ht="15">
      <c r="A1411" s="362"/>
      <c r="B1411" s="365"/>
      <c r="C1411" s="368"/>
      <c r="D1411" s="97">
        <v>8</v>
      </c>
      <c r="E1411" s="107">
        <v>865</v>
      </c>
    </row>
    <row r="1412" spans="1:5">
      <c r="A1412" s="362"/>
      <c r="B1412" s="365"/>
      <c r="C1412" s="368"/>
      <c r="D1412" s="98">
        <v>9</v>
      </c>
      <c r="E1412" s="108">
        <v>821</v>
      </c>
    </row>
    <row r="1413" spans="1:5" ht="28">
      <c r="A1413" s="362"/>
      <c r="B1413" s="365"/>
      <c r="C1413" s="368"/>
      <c r="D1413" s="97" t="s">
        <v>11</v>
      </c>
      <c r="E1413" s="107">
        <v>4351</v>
      </c>
    </row>
    <row r="1414" spans="1:5">
      <c r="A1414" s="362"/>
      <c r="B1414" s="365"/>
      <c r="C1414" s="368" t="s">
        <v>13</v>
      </c>
      <c r="D1414" s="98">
        <v>10</v>
      </c>
      <c r="E1414" s="108">
        <v>832</v>
      </c>
    </row>
    <row r="1415" spans="1:5" ht="15">
      <c r="A1415" s="362"/>
      <c r="B1415" s="365"/>
      <c r="C1415" s="368"/>
      <c r="D1415" s="97">
        <v>11</v>
      </c>
      <c r="E1415" s="107">
        <v>901</v>
      </c>
    </row>
    <row r="1416" spans="1:5">
      <c r="A1416" s="362"/>
      <c r="B1416" s="365"/>
      <c r="C1416" s="368"/>
      <c r="D1416" s="98">
        <v>12</v>
      </c>
      <c r="E1416" s="108">
        <v>879</v>
      </c>
    </row>
    <row r="1417" spans="1:5" ht="15">
      <c r="A1417" s="362"/>
      <c r="B1417" s="365"/>
      <c r="C1417" s="368"/>
      <c r="D1417" s="97">
        <v>13</v>
      </c>
      <c r="E1417" s="107">
        <v>934</v>
      </c>
    </row>
    <row r="1418" spans="1:5">
      <c r="A1418" s="362"/>
      <c r="B1418" s="365"/>
      <c r="C1418" s="368"/>
      <c r="D1418" s="98">
        <v>14</v>
      </c>
      <c r="E1418" s="108">
        <v>900</v>
      </c>
    </row>
    <row r="1419" spans="1:5" ht="28">
      <c r="A1419" s="362"/>
      <c r="B1419" s="365"/>
      <c r="C1419" s="368"/>
      <c r="D1419" s="97" t="s">
        <v>11</v>
      </c>
      <c r="E1419" s="107">
        <v>4446</v>
      </c>
    </row>
    <row r="1420" spans="1:5">
      <c r="A1420" s="362"/>
      <c r="B1420" s="365"/>
      <c r="C1420" s="368" t="s">
        <v>14</v>
      </c>
      <c r="D1420" s="98">
        <v>15</v>
      </c>
      <c r="E1420" s="108">
        <v>877</v>
      </c>
    </row>
    <row r="1421" spans="1:5" ht="15">
      <c r="A1421" s="362"/>
      <c r="B1421" s="365"/>
      <c r="C1421" s="368"/>
      <c r="D1421" s="97">
        <v>16</v>
      </c>
      <c r="E1421" s="107">
        <v>864</v>
      </c>
    </row>
    <row r="1422" spans="1:5">
      <c r="A1422" s="362"/>
      <c r="B1422" s="365"/>
      <c r="C1422" s="368"/>
      <c r="D1422" s="98">
        <v>17</v>
      </c>
      <c r="E1422" s="108">
        <v>914</v>
      </c>
    </row>
    <row r="1423" spans="1:5" ht="15">
      <c r="A1423" s="362"/>
      <c r="B1423" s="365"/>
      <c r="C1423" s="368"/>
      <c r="D1423" s="97">
        <v>18</v>
      </c>
      <c r="E1423" s="107">
        <v>907</v>
      </c>
    </row>
    <row r="1424" spans="1:5">
      <c r="A1424" s="362"/>
      <c r="B1424" s="365"/>
      <c r="C1424" s="368"/>
      <c r="D1424" s="98">
        <v>19</v>
      </c>
      <c r="E1424" s="108">
        <v>844</v>
      </c>
    </row>
    <row r="1425" spans="1:5" ht="28">
      <c r="A1425" s="362"/>
      <c r="B1425" s="365"/>
      <c r="C1425" s="368"/>
      <c r="D1425" s="97" t="s">
        <v>11</v>
      </c>
      <c r="E1425" s="107">
        <v>4406</v>
      </c>
    </row>
    <row r="1426" spans="1:5">
      <c r="A1426" s="362"/>
      <c r="B1426" s="365"/>
      <c r="C1426" s="368" t="s">
        <v>15</v>
      </c>
      <c r="D1426" s="98">
        <v>20</v>
      </c>
      <c r="E1426" s="108">
        <v>844</v>
      </c>
    </row>
    <row r="1427" spans="1:5" ht="15">
      <c r="A1427" s="362"/>
      <c r="B1427" s="365"/>
      <c r="C1427" s="368"/>
      <c r="D1427" s="97">
        <v>21</v>
      </c>
      <c r="E1427" s="107">
        <v>817</v>
      </c>
    </row>
    <row r="1428" spans="1:5">
      <c r="A1428" s="362"/>
      <c r="B1428" s="365"/>
      <c r="C1428" s="368"/>
      <c r="D1428" s="98">
        <v>22</v>
      </c>
      <c r="E1428" s="108">
        <v>765</v>
      </c>
    </row>
    <row r="1429" spans="1:5" ht="15">
      <c r="A1429" s="362"/>
      <c r="B1429" s="365"/>
      <c r="C1429" s="368"/>
      <c r="D1429" s="97">
        <v>23</v>
      </c>
      <c r="E1429" s="107">
        <v>814</v>
      </c>
    </row>
    <row r="1430" spans="1:5">
      <c r="A1430" s="362"/>
      <c r="B1430" s="365"/>
      <c r="C1430" s="368"/>
      <c r="D1430" s="98">
        <v>24</v>
      </c>
      <c r="E1430" s="108">
        <v>787</v>
      </c>
    </row>
    <row r="1431" spans="1:5" ht="28">
      <c r="A1431" s="362"/>
      <c r="B1431" s="365"/>
      <c r="C1431" s="368"/>
      <c r="D1431" s="97" t="s">
        <v>11</v>
      </c>
      <c r="E1431" s="107">
        <v>4027</v>
      </c>
    </row>
    <row r="1432" spans="1:5">
      <c r="A1432" s="362"/>
      <c r="B1432" s="365"/>
      <c r="C1432" s="368" t="s">
        <v>16</v>
      </c>
      <c r="D1432" s="98">
        <v>25</v>
      </c>
      <c r="E1432" s="108">
        <v>804</v>
      </c>
    </row>
    <row r="1433" spans="1:5" ht="15">
      <c r="A1433" s="362"/>
      <c r="B1433" s="365"/>
      <c r="C1433" s="368"/>
      <c r="D1433" s="97">
        <v>26</v>
      </c>
      <c r="E1433" s="107">
        <v>789</v>
      </c>
    </row>
    <row r="1434" spans="1:5">
      <c r="A1434" s="362"/>
      <c r="B1434" s="365"/>
      <c r="C1434" s="368"/>
      <c r="D1434" s="98">
        <v>27</v>
      </c>
      <c r="E1434" s="108">
        <v>775</v>
      </c>
    </row>
    <row r="1435" spans="1:5" ht="15">
      <c r="A1435" s="362"/>
      <c r="B1435" s="365"/>
      <c r="C1435" s="368"/>
      <c r="D1435" s="97">
        <v>28</v>
      </c>
      <c r="E1435" s="107">
        <v>752</v>
      </c>
    </row>
    <row r="1436" spans="1:5">
      <c r="A1436" s="362"/>
      <c r="B1436" s="365"/>
      <c r="C1436" s="368"/>
      <c r="D1436" s="98">
        <v>29</v>
      </c>
      <c r="E1436" s="108">
        <v>672</v>
      </c>
    </row>
    <row r="1437" spans="1:5" ht="28">
      <c r="A1437" s="362"/>
      <c r="B1437" s="365"/>
      <c r="C1437" s="368"/>
      <c r="D1437" s="97" t="s">
        <v>11</v>
      </c>
      <c r="E1437" s="107">
        <v>3792</v>
      </c>
    </row>
    <row r="1438" spans="1:5">
      <c r="A1438" s="362"/>
      <c r="B1438" s="365"/>
      <c r="C1438" s="368" t="s">
        <v>17</v>
      </c>
      <c r="D1438" s="98">
        <v>30</v>
      </c>
      <c r="E1438" s="108">
        <v>661</v>
      </c>
    </row>
    <row r="1439" spans="1:5" ht="15">
      <c r="A1439" s="362"/>
      <c r="B1439" s="365"/>
      <c r="C1439" s="368"/>
      <c r="D1439" s="97">
        <v>31</v>
      </c>
      <c r="E1439" s="107">
        <v>619</v>
      </c>
    </row>
    <row r="1440" spans="1:5">
      <c r="A1440" s="362"/>
      <c r="B1440" s="365"/>
      <c r="C1440" s="368"/>
      <c r="D1440" s="98">
        <v>32</v>
      </c>
      <c r="E1440" s="108">
        <v>648</v>
      </c>
    </row>
    <row r="1441" spans="1:5" ht="15">
      <c r="A1441" s="362"/>
      <c r="B1441" s="365"/>
      <c r="C1441" s="368"/>
      <c r="D1441" s="97">
        <v>33</v>
      </c>
      <c r="E1441" s="107">
        <v>678</v>
      </c>
    </row>
    <row r="1442" spans="1:5">
      <c r="A1442" s="362"/>
      <c r="B1442" s="365"/>
      <c r="C1442" s="368"/>
      <c r="D1442" s="98">
        <v>34</v>
      </c>
      <c r="E1442" s="108">
        <v>630</v>
      </c>
    </row>
    <row r="1443" spans="1:5" ht="28">
      <c r="A1443" s="362"/>
      <c r="B1443" s="365"/>
      <c r="C1443" s="368"/>
      <c r="D1443" s="97" t="s">
        <v>11</v>
      </c>
      <c r="E1443" s="107">
        <v>3236</v>
      </c>
    </row>
    <row r="1444" spans="1:5">
      <c r="A1444" s="362"/>
      <c r="B1444" s="365"/>
      <c r="C1444" s="368" t="s">
        <v>18</v>
      </c>
      <c r="D1444" s="98">
        <v>35</v>
      </c>
      <c r="E1444" s="108">
        <v>634</v>
      </c>
    </row>
    <row r="1445" spans="1:5" ht="15">
      <c r="A1445" s="362"/>
      <c r="B1445" s="365"/>
      <c r="C1445" s="368"/>
      <c r="D1445" s="97">
        <v>36</v>
      </c>
      <c r="E1445" s="107">
        <v>585</v>
      </c>
    </row>
    <row r="1446" spans="1:5">
      <c r="A1446" s="362"/>
      <c r="B1446" s="365"/>
      <c r="C1446" s="368"/>
      <c r="D1446" s="98">
        <v>37</v>
      </c>
      <c r="E1446" s="108">
        <v>652</v>
      </c>
    </row>
    <row r="1447" spans="1:5" ht="15">
      <c r="A1447" s="362"/>
      <c r="B1447" s="365"/>
      <c r="C1447" s="368"/>
      <c r="D1447" s="97">
        <v>38</v>
      </c>
      <c r="E1447" s="107">
        <v>644</v>
      </c>
    </row>
    <row r="1448" spans="1:5">
      <c r="A1448" s="362"/>
      <c r="B1448" s="365"/>
      <c r="C1448" s="368"/>
      <c r="D1448" s="98">
        <v>39</v>
      </c>
      <c r="E1448" s="108">
        <v>546</v>
      </c>
    </row>
    <row r="1449" spans="1:5" ht="28">
      <c r="A1449" s="362"/>
      <c r="B1449" s="365"/>
      <c r="C1449" s="368"/>
      <c r="D1449" s="97" t="s">
        <v>11</v>
      </c>
      <c r="E1449" s="107">
        <v>3061</v>
      </c>
    </row>
    <row r="1450" spans="1:5">
      <c r="A1450" s="362"/>
      <c r="B1450" s="365"/>
      <c r="C1450" s="368" t="s">
        <v>19</v>
      </c>
      <c r="D1450" s="98">
        <v>40</v>
      </c>
      <c r="E1450" s="108">
        <v>563</v>
      </c>
    </row>
    <row r="1451" spans="1:5" ht="15">
      <c r="A1451" s="362"/>
      <c r="B1451" s="365"/>
      <c r="C1451" s="368"/>
      <c r="D1451" s="97">
        <v>41</v>
      </c>
      <c r="E1451" s="107">
        <v>496</v>
      </c>
    </row>
    <row r="1452" spans="1:5">
      <c r="A1452" s="362"/>
      <c r="B1452" s="365"/>
      <c r="C1452" s="368"/>
      <c r="D1452" s="98">
        <v>42</v>
      </c>
      <c r="E1452" s="108">
        <v>494</v>
      </c>
    </row>
    <row r="1453" spans="1:5" ht="15">
      <c r="A1453" s="362"/>
      <c r="B1453" s="365"/>
      <c r="C1453" s="368"/>
      <c r="D1453" s="97">
        <v>43</v>
      </c>
      <c r="E1453" s="107">
        <v>474</v>
      </c>
    </row>
    <row r="1454" spans="1:5">
      <c r="A1454" s="362"/>
      <c r="B1454" s="365"/>
      <c r="C1454" s="368"/>
      <c r="D1454" s="98">
        <v>44</v>
      </c>
      <c r="E1454" s="108">
        <v>469</v>
      </c>
    </row>
    <row r="1455" spans="1:5" ht="28">
      <c r="A1455" s="362"/>
      <c r="B1455" s="365"/>
      <c r="C1455" s="368"/>
      <c r="D1455" s="97" t="s">
        <v>11</v>
      </c>
      <c r="E1455" s="107">
        <v>2496</v>
      </c>
    </row>
    <row r="1456" spans="1:5">
      <c r="A1456" s="362"/>
      <c r="B1456" s="365"/>
      <c r="C1456" s="368" t="s">
        <v>20</v>
      </c>
      <c r="D1456" s="98">
        <v>45</v>
      </c>
      <c r="E1456" s="108">
        <v>494</v>
      </c>
    </row>
    <row r="1457" spans="1:5" ht="15">
      <c r="A1457" s="362"/>
      <c r="B1457" s="365"/>
      <c r="C1457" s="368"/>
      <c r="D1457" s="97">
        <v>46</v>
      </c>
      <c r="E1457" s="107">
        <v>507</v>
      </c>
    </row>
    <row r="1458" spans="1:5">
      <c r="A1458" s="362"/>
      <c r="B1458" s="365"/>
      <c r="C1458" s="368"/>
      <c r="D1458" s="98">
        <v>47</v>
      </c>
      <c r="E1458" s="108">
        <v>518</v>
      </c>
    </row>
    <row r="1459" spans="1:5" ht="15">
      <c r="A1459" s="362"/>
      <c r="B1459" s="365"/>
      <c r="C1459" s="368"/>
      <c r="D1459" s="97">
        <v>48</v>
      </c>
      <c r="E1459" s="107">
        <v>515</v>
      </c>
    </row>
    <row r="1460" spans="1:5">
      <c r="A1460" s="362"/>
      <c r="B1460" s="365"/>
      <c r="C1460" s="368"/>
      <c r="D1460" s="98">
        <v>49</v>
      </c>
      <c r="E1460" s="108">
        <v>471</v>
      </c>
    </row>
    <row r="1461" spans="1:5" ht="28">
      <c r="A1461" s="362"/>
      <c r="B1461" s="365"/>
      <c r="C1461" s="368"/>
      <c r="D1461" s="97" t="s">
        <v>11</v>
      </c>
      <c r="E1461" s="107">
        <v>2505</v>
      </c>
    </row>
    <row r="1462" spans="1:5">
      <c r="A1462" s="362"/>
      <c r="B1462" s="365"/>
      <c r="C1462" s="368" t="s">
        <v>21</v>
      </c>
      <c r="D1462" s="98">
        <v>50</v>
      </c>
      <c r="E1462" s="108">
        <v>456</v>
      </c>
    </row>
    <row r="1463" spans="1:5" ht="15">
      <c r="A1463" s="362"/>
      <c r="B1463" s="365"/>
      <c r="C1463" s="368"/>
      <c r="D1463" s="97">
        <v>51</v>
      </c>
      <c r="E1463" s="107">
        <v>444</v>
      </c>
    </row>
    <row r="1464" spans="1:5">
      <c r="A1464" s="362"/>
      <c r="B1464" s="365"/>
      <c r="C1464" s="368"/>
      <c r="D1464" s="98">
        <v>52</v>
      </c>
      <c r="E1464" s="108">
        <v>423</v>
      </c>
    </row>
    <row r="1465" spans="1:5" ht="15">
      <c r="A1465" s="362"/>
      <c r="B1465" s="365"/>
      <c r="C1465" s="368"/>
      <c r="D1465" s="97">
        <v>53</v>
      </c>
      <c r="E1465" s="107">
        <v>473</v>
      </c>
    </row>
    <row r="1466" spans="1:5">
      <c r="A1466" s="362"/>
      <c r="B1466" s="365"/>
      <c r="C1466" s="368"/>
      <c r="D1466" s="98">
        <v>54</v>
      </c>
      <c r="E1466" s="108">
        <v>497</v>
      </c>
    </row>
    <row r="1467" spans="1:5" ht="28">
      <c r="A1467" s="362"/>
      <c r="B1467" s="365"/>
      <c r="C1467" s="368"/>
      <c r="D1467" s="97" t="s">
        <v>11</v>
      </c>
      <c r="E1467" s="107">
        <v>2293</v>
      </c>
    </row>
    <row r="1468" spans="1:5">
      <c r="A1468" s="362"/>
      <c r="B1468" s="365"/>
      <c r="C1468" s="368" t="s">
        <v>22</v>
      </c>
      <c r="D1468" s="98">
        <v>55</v>
      </c>
      <c r="E1468" s="108">
        <v>468</v>
      </c>
    </row>
    <row r="1469" spans="1:5" ht="15">
      <c r="A1469" s="362"/>
      <c r="B1469" s="365"/>
      <c r="C1469" s="368"/>
      <c r="D1469" s="97">
        <v>56</v>
      </c>
      <c r="E1469" s="107">
        <v>422</v>
      </c>
    </row>
    <row r="1470" spans="1:5">
      <c r="A1470" s="362"/>
      <c r="B1470" s="365"/>
      <c r="C1470" s="368"/>
      <c r="D1470" s="98">
        <v>57</v>
      </c>
      <c r="E1470" s="108">
        <v>422</v>
      </c>
    </row>
    <row r="1471" spans="1:5" ht="15">
      <c r="A1471" s="362"/>
      <c r="B1471" s="365"/>
      <c r="C1471" s="368"/>
      <c r="D1471" s="97">
        <v>58</v>
      </c>
      <c r="E1471" s="107">
        <v>420</v>
      </c>
    </row>
    <row r="1472" spans="1:5">
      <c r="A1472" s="362"/>
      <c r="B1472" s="365"/>
      <c r="C1472" s="368"/>
      <c r="D1472" s="98">
        <v>59</v>
      </c>
      <c r="E1472" s="108">
        <v>388</v>
      </c>
    </row>
    <row r="1473" spans="1:5" ht="28">
      <c r="A1473" s="362"/>
      <c r="B1473" s="365"/>
      <c r="C1473" s="368"/>
      <c r="D1473" s="97" t="s">
        <v>11</v>
      </c>
      <c r="E1473" s="107">
        <v>2120</v>
      </c>
    </row>
    <row r="1474" spans="1:5">
      <c r="A1474" s="362"/>
      <c r="B1474" s="365"/>
      <c r="C1474" s="368" t="s">
        <v>23</v>
      </c>
      <c r="D1474" s="98">
        <v>60</v>
      </c>
      <c r="E1474" s="108">
        <v>386</v>
      </c>
    </row>
    <row r="1475" spans="1:5" ht="15">
      <c r="A1475" s="362"/>
      <c r="B1475" s="365"/>
      <c r="C1475" s="368"/>
      <c r="D1475" s="97">
        <v>61</v>
      </c>
      <c r="E1475" s="107">
        <v>365</v>
      </c>
    </row>
    <row r="1476" spans="1:5">
      <c r="A1476" s="362"/>
      <c r="B1476" s="365"/>
      <c r="C1476" s="368"/>
      <c r="D1476" s="98">
        <v>62</v>
      </c>
      <c r="E1476" s="108">
        <v>333</v>
      </c>
    </row>
    <row r="1477" spans="1:5" ht="15">
      <c r="A1477" s="362"/>
      <c r="B1477" s="365"/>
      <c r="C1477" s="368"/>
      <c r="D1477" s="97">
        <v>63</v>
      </c>
      <c r="E1477" s="107">
        <v>325</v>
      </c>
    </row>
    <row r="1478" spans="1:5">
      <c r="A1478" s="362"/>
      <c r="B1478" s="365"/>
      <c r="C1478" s="368"/>
      <c r="D1478" s="98">
        <v>64</v>
      </c>
      <c r="E1478" s="108">
        <v>285</v>
      </c>
    </row>
    <row r="1479" spans="1:5" ht="28">
      <c r="A1479" s="362"/>
      <c r="B1479" s="365"/>
      <c r="C1479" s="368"/>
      <c r="D1479" s="97" t="s">
        <v>11</v>
      </c>
      <c r="E1479" s="107">
        <v>1694</v>
      </c>
    </row>
    <row r="1480" spans="1:5">
      <c r="A1480" s="362"/>
      <c r="B1480" s="365"/>
      <c r="C1480" s="368" t="s">
        <v>24</v>
      </c>
      <c r="D1480" s="98">
        <v>65</v>
      </c>
      <c r="E1480" s="108">
        <v>258</v>
      </c>
    </row>
    <row r="1481" spans="1:5" ht="15">
      <c r="A1481" s="362"/>
      <c r="B1481" s="365"/>
      <c r="C1481" s="368"/>
      <c r="D1481" s="97">
        <v>66</v>
      </c>
      <c r="E1481" s="107">
        <v>246</v>
      </c>
    </row>
    <row r="1482" spans="1:5">
      <c r="A1482" s="362"/>
      <c r="B1482" s="365"/>
      <c r="C1482" s="368"/>
      <c r="D1482" s="98">
        <v>67</v>
      </c>
      <c r="E1482" s="108">
        <v>276</v>
      </c>
    </row>
    <row r="1483" spans="1:5" ht="15">
      <c r="A1483" s="362"/>
      <c r="B1483" s="365"/>
      <c r="C1483" s="368"/>
      <c r="D1483" s="97">
        <v>68</v>
      </c>
      <c r="E1483" s="107">
        <v>202</v>
      </c>
    </row>
    <row r="1484" spans="1:5">
      <c r="A1484" s="362"/>
      <c r="B1484" s="365"/>
      <c r="C1484" s="368"/>
      <c r="D1484" s="98">
        <v>69</v>
      </c>
      <c r="E1484" s="108">
        <v>194</v>
      </c>
    </row>
    <row r="1485" spans="1:5" ht="28">
      <c r="A1485" s="362"/>
      <c r="B1485" s="365"/>
      <c r="C1485" s="368"/>
      <c r="D1485" s="97" t="s">
        <v>11</v>
      </c>
      <c r="E1485" s="107">
        <v>1176</v>
      </c>
    </row>
    <row r="1486" spans="1:5">
      <c r="A1486" s="362"/>
      <c r="B1486" s="365"/>
      <c r="C1486" s="368" t="s">
        <v>25</v>
      </c>
      <c r="D1486" s="98">
        <v>70</v>
      </c>
      <c r="E1486" s="108">
        <v>193</v>
      </c>
    </row>
    <row r="1487" spans="1:5" ht="15">
      <c r="A1487" s="362"/>
      <c r="B1487" s="365"/>
      <c r="C1487" s="368"/>
      <c r="D1487" s="97">
        <v>71</v>
      </c>
      <c r="E1487" s="107">
        <v>152</v>
      </c>
    </row>
    <row r="1488" spans="1:5">
      <c r="A1488" s="362"/>
      <c r="B1488" s="365"/>
      <c r="C1488" s="368"/>
      <c r="D1488" s="98">
        <v>72</v>
      </c>
      <c r="E1488" s="108">
        <v>187</v>
      </c>
    </row>
    <row r="1489" spans="1:5" ht="15">
      <c r="A1489" s="362"/>
      <c r="B1489" s="365"/>
      <c r="C1489" s="368"/>
      <c r="D1489" s="97">
        <v>73</v>
      </c>
      <c r="E1489" s="107">
        <v>145</v>
      </c>
    </row>
    <row r="1490" spans="1:5">
      <c r="A1490" s="362"/>
      <c r="B1490" s="365"/>
      <c r="C1490" s="368"/>
      <c r="D1490" s="98">
        <v>74</v>
      </c>
      <c r="E1490" s="108">
        <v>153</v>
      </c>
    </row>
    <row r="1491" spans="1:5" ht="28">
      <c r="A1491" s="362"/>
      <c r="B1491" s="365"/>
      <c r="C1491" s="368"/>
      <c r="D1491" s="97" t="s">
        <v>11</v>
      </c>
      <c r="E1491" s="107">
        <v>830</v>
      </c>
    </row>
    <row r="1492" spans="1:5">
      <c r="A1492" s="362"/>
      <c r="B1492" s="365"/>
      <c r="C1492" s="368" t="s">
        <v>26</v>
      </c>
      <c r="D1492" s="98">
        <v>75</v>
      </c>
      <c r="E1492" s="108">
        <v>122</v>
      </c>
    </row>
    <row r="1493" spans="1:5" ht="15">
      <c r="A1493" s="362"/>
      <c r="B1493" s="365"/>
      <c r="C1493" s="368"/>
      <c r="D1493" s="97">
        <v>76</v>
      </c>
      <c r="E1493" s="107">
        <v>155</v>
      </c>
    </row>
    <row r="1494" spans="1:5">
      <c r="A1494" s="362"/>
      <c r="B1494" s="365"/>
      <c r="C1494" s="368"/>
      <c r="D1494" s="98">
        <v>77</v>
      </c>
      <c r="E1494" s="108">
        <v>142</v>
      </c>
    </row>
    <row r="1495" spans="1:5" ht="15">
      <c r="A1495" s="362"/>
      <c r="B1495" s="365"/>
      <c r="C1495" s="368"/>
      <c r="D1495" s="97">
        <v>78</v>
      </c>
      <c r="E1495" s="107">
        <v>120</v>
      </c>
    </row>
    <row r="1496" spans="1:5">
      <c r="A1496" s="362"/>
      <c r="B1496" s="365"/>
      <c r="C1496" s="368"/>
      <c r="D1496" s="98">
        <v>79</v>
      </c>
      <c r="E1496" s="108">
        <v>122</v>
      </c>
    </row>
    <row r="1497" spans="1:5" ht="28">
      <c r="A1497" s="362"/>
      <c r="B1497" s="365"/>
      <c r="C1497" s="368"/>
      <c r="D1497" s="97" t="s">
        <v>11</v>
      </c>
      <c r="E1497" s="107">
        <v>661</v>
      </c>
    </row>
    <row r="1498" spans="1:5">
      <c r="A1498" s="362"/>
      <c r="B1498" s="365"/>
      <c r="C1498" s="368" t="s">
        <v>27</v>
      </c>
      <c r="D1498" s="98">
        <v>80</v>
      </c>
      <c r="E1498" s="108">
        <v>93</v>
      </c>
    </row>
    <row r="1499" spans="1:5" ht="15">
      <c r="A1499" s="362"/>
      <c r="B1499" s="365"/>
      <c r="C1499" s="368"/>
      <c r="D1499" s="97">
        <v>81</v>
      </c>
      <c r="E1499" s="107">
        <v>84</v>
      </c>
    </row>
    <row r="1500" spans="1:5">
      <c r="A1500" s="362"/>
      <c r="B1500" s="365"/>
      <c r="C1500" s="368"/>
      <c r="D1500" s="98">
        <v>82</v>
      </c>
      <c r="E1500" s="108">
        <v>84</v>
      </c>
    </row>
    <row r="1501" spans="1:5" ht="15">
      <c r="A1501" s="362"/>
      <c r="B1501" s="365"/>
      <c r="C1501" s="368"/>
      <c r="D1501" s="97">
        <v>83</v>
      </c>
      <c r="E1501" s="107">
        <v>100</v>
      </c>
    </row>
    <row r="1502" spans="1:5">
      <c r="A1502" s="362"/>
      <c r="B1502" s="365"/>
      <c r="C1502" s="368"/>
      <c r="D1502" s="98">
        <v>84</v>
      </c>
      <c r="E1502" s="108">
        <v>64</v>
      </c>
    </row>
    <row r="1503" spans="1:5" ht="28">
      <c r="A1503" s="362"/>
      <c r="B1503" s="365"/>
      <c r="C1503" s="368"/>
      <c r="D1503" s="97" t="s">
        <v>11</v>
      </c>
      <c r="E1503" s="107">
        <v>425</v>
      </c>
    </row>
    <row r="1504" spans="1:5">
      <c r="A1504" s="362"/>
      <c r="B1504" s="365"/>
      <c r="C1504" s="368" t="s">
        <v>28</v>
      </c>
      <c r="D1504" s="98">
        <v>85</v>
      </c>
      <c r="E1504" s="108">
        <v>52</v>
      </c>
    </row>
    <row r="1505" spans="1:5" ht="15">
      <c r="A1505" s="362"/>
      <c r="B1505" s="365"/>
      <c r="C1505" s="368"/>
      <c r="D1505" s="97">
        <v>86</v>
      </c>
      <c r="E1505" s="107">
        <v>46</v>
      </c>
    </row>
    <row r="1506" spans="1:5">
      <c r="A1506" s="362"/>
      <c r="B1506" s="365"/>
      <c r="C1506" s="368"/>
      <c r="D1506" s="98">
        <v>87</v>
      </c>
      <c r="E1506" s="108">
        <v>52</v>
      </c>
    </row>
    <row r="1507" spans="1:5" ht="15">
      <c r="A1507" s="362"/>
      <c r="B1507" s="365"/>
      <c r="C1507" s="368"/>
      <c r="D1507" s="97">
        <v>88</v>
      </c>
      <c r="E1507" s="107">
        <v>49</v>
      </c>
    </row>
    <row r="1508" spans="1:5">
      <c r="A1508" s="362"/>
      <c r="B1508" s="365"/>
      <c r="C1508" s="368"/>
      <c r="D1508" s="98">
        <v>89</v>
      </c>
      <c r="E1508" s="108">
        <v>33</v>
      </c>
    </row>
    <row r="1509" spans="1:5" ht="28">
      <c r="A1509" s="362"/>
      <c r="B1509" s="365"/>
      <c r="C1509" s="368"/>
      <c r="D1509" s="97" t="s">
        <v>11</v>
      </c>
      <c r="E1509" s="107">
        <v>232</v>
      </c>
    </row>
    <row r="1510" spans="1:5">
      <c r="A1510" s="362"/>
      <c r="B1510" s="365"/>
      <c r="C1510" s="368" t="s">
        <v>29</v>
      </c>
      <c r="D1510" s="98">
        <v>90</v>
      </c>
      <c r="E1510" s="108">
        <v>33</v>
      </c>
    </row>
    <row r="1511" spans="1:5" ht="15">
      <c r="A1511" s="362"/>
      <c r="B1511" s="365"/>
      <c r="C1511" s="368"/>
      <c r="D1511" s="97">
        <v>91</v>
      </c>
      <c r="E1511" s="107">
        <v>37</v>
      </c>
    </row>
    <row r="1512" spans="1:5">
      <c r="A1512" s="362"/>
      <c r="B1512" s="365"/>
      <c r="C1512" s="368"/>
      <c r="D1512" s="98">
        <v>92</v>
      </c>
      <c r="E1512" s="108">
        <v>27</v>
      </c>
    </row>
    <row r="1513" spans="1:5" ht="15">
      <c r="A1513" s="362"/>
      <c r="B1513" s="365"/>
      <c r="C1513" s="368"/>
      <c r="D1513" s="97">
        <v>93</v>
      </c>
      <c r="E1513" s="107">
        <v>25</v>
      </c>
    </row>
    <row r="1514" spans="1:5">
      <c r="A1514" s="362"/>
      <c r="B1514" s="365"/>
      <c r="C1514" s="368"/>
      <c r="D1514" s="98">
        <v>94</v>
      </c>
      <c r="E1514" s="108">
        <v>17</v>
      </c>
    </row>
    <row r="1515" spans="1:5" ht="28">
      <c r="A1515" s="362"/>
      <c r="B1515" s="365"/>
      <c r="C1515" s="368"/>
      <c r="D1515" s="97" t="s">
        <v>11</v>
      </c>
      <c r="E1515" s="107">
        <v>139</v>
      </c>
    </row>
    <row r="1516" spans="1:5">
      <c r="A1516" s="362"/>
      <c r="B1516" s="365"/>
      <c r="C1516" s="368" t="s">
        <v>30</v>
      </c>
      <c r="D1516" s="98">
        <v>95</v>
      </c>
      <c r="E1516" s="108">
        <v>17</v>
      </c>
    </row>
    <row r="1517" spans="1:5" ht="15">
      <c r="A1517" s="362"/>
      <c r="B1517" s="365"/>
      <c r="C1517" s="368"/>
      <c r="D1517" s="97">
        <v>96</v>
      </c>
      <c r="E1517" s="107">
        <v>17</v>
      </c>
    </row>
    <row r="1518" spans="1:5">
      <c r="A1518" s="362"/>
      <c r="B1518" s="365"/>
      <c r="C1518" s="368"/>
      <c r="D1518" s="98">
        <v>97</v>
      </c>
      <c r="E1518" s="108">
        <v>11</v>
      </c>
    </row>
    <row r="1519" spans="1:5" ht="15">
      <c r="A1519" s="362"/>
      <c r="B1519" s="365"/>
      <c r="C1519" s="368"/>
      <c r="D1519" s="97">
        <v>98</v>
      </c>
      <c r="E1519" s="107">
        <v>12</v>
      </c>
    </row>
    <row r="1520" spans="1:5">
      <c r="A1520" s="362"/>
      <c r="B1520" s="365"/>
      <c r="C1520" s="368"/>
      <c r="D1520" s="98">
        <v>99</v>
      </c>
      <c r="E1520" s="108">
        <v>7</v>
      </c>
    </row>
    <row r="1521" spans="1:5" ht="28">
      <c r="A1521" s="362"/>
      <c r="B1521" s="365"/>
      <c r="C1521" s="368"/>
      <c r="D1521" s="97" t="s">
        <v>11</v>
      </c>
      <c r="E1521" s="107">
        <v>64</v>
      </c>
    </row>
    <row r="1522" spans="1:5">
      <c r="A1522" s="362"/>
      <c r="B1522" s="365"/>
      <c r="C1522" s="368" t="s">
        <v>31</v>
      </c>
      <c r="D1522" s="98">
        <v>100</v>
      </c>
      <c r="E1522" s="108">
        <v>5</v>
      </c>
    </row>
    <row r="1523" spans="1:5" ht="15">
      <c r="A1523" s="362"/>
      <c r="B1523" s="365"/>
      <c r="C1523" s="368"/>
      <c r="D1523" s="97">
        <v>101</v>
      </c>
      <c r="E1523" s="107">
        <v>2</v>
      </c>
    </row>
    <row r="1524" spans="1:5">
      <c r="A1524" s="362"/>
      <c r="B1524" s="365"/>
      <c r="C1524" s="368"/>
      <c r="D1524" s="98">
        <v>102</v>
      </c>
      <c r="E1524" s="108">
        <v>7</v>
      </c>
    </row>
    <row r="1525" spans="1:5" ht="15">
      <c r="A1525" s="362"/>
      <c r="B1525" s="365"/>
      <c r="C1525" s="368"/>
      <c r="D1525" s="97">
        <v>103</v>
      </c>
      <c r="E1525" s="107">
        <v>3</v>
      </c>
    </row>
    <row r="1526" spans="1:5" ht="28">
      <c r="A1526" s="362"/>
      <c r="B1526" s="365"/>
      <c r="C1526" s="368"/>
      <c r="D1526" s="98" t="s">
        <v>11</v>
      </c>
      <c r="E1526" s="108">
        <v>17</v>
      </c>
    </row>
    <row r="1527" spans="1:5" ht="15">
      <c r="A1527" s="362"/>
      <c r="B1527" s="365"/>
      <c r="C1527" s="368" t="s">
        <v>32</v>
      </c>
      <c r="D1527" s="97">
        <v>105</v>
      </c>
      <c r="E1527" s="107">
        <v>1</v>
      </c>
    </row>
    <row r="1528" spans="1:5">
      <c r="A1528" s="362"/>
      <c r="B1528" s="365"/>
      <c r="C1528" s="368"/>
      <c r="D1528" s="98">
        <v>106</v>
      </c>
      <c r="E1528" s="108">
        <v>2</v>
      </c>
    </row>
    <row r="1529" spans="1:5" ht="28">
      <c r="A1529" s="362"/>
      <c r="B1529" s="365"/>
      <c r="C1529" s="368"/>
      <c r="D1529" s="97" t="s">
        <v>11</v>
      </c>
      <c r="E1529" s="107">
        <v>3</v>
      </c>
    </row>
    <row r="1530" spans="1:5">
      <c r="A1530" s="362"/>
      <c r="B1530" s="365"/>
      <c r="C1530" s="368" t="s">
        <v>33</v>
      </c>
      <c r="D1530" s="98">
        <v>110</v>
      </c>
      <c r="E1530" s="108">
        <v>2</v>
      </c>
    </row>
    <row r="1531" spans="1:5" ht="15">
      <c r="A1531" s="362"/>
      <c r="B1531" s="365"/>
      <c r="C1531" s="368"/>
      <c r="D1531" s="97">
        <v>111</v>
      </c>
      <c r="E1531" s="107">
        <v>2</v>
      </c>
    </row>
    <row r="1532" spans="1:5">
      <c r="A1532" s="362"/>
      <c r="B1532" s="365"/>
      <c r="C1532" s="368"/>
      <c r="D1532" s="98">
        <v>112</v>
      </c>
      <c r="E1532" s="108">
        <v>1</v>
      </c>
    </row>
    <row r="1533" spans="1:5" ht="15">
      <c r="A1533" s="362"/>
      <c r="B1533" s="365"/>
      <c r="C1533" s="368"/>
      <c r="D1533" s="97">
        <v>113</v>
      </c>
      <c r="E1533" s="107">
        <v>1</v>
      </c>
    </row>
    <row r="1534" spans="1:5" ht="28">
      <c r="A1534" s="362"/>
      <c r="B1534" s="365"/>
      <c r="C1534" s="368"/>
      <c r="D1534" s="98" t="s">
        <v>11</v>
      </c>
      <c r="E1534" s="108">
        <v>6</v>
      </c>
    </row>
    <row r="1535" spans="1:5" ht="15">
      <c r="A1535" s="362"/>
      <c r="B1535" s="365"/>
      <c r="C1535" s="368" t="s">
        <v>34</v>
      </c>
      <c r="D1535" s="97">
        <v>116</v>
      </c>
      <c r="E1535" s="107">
        <v>1</v>
      </c>
    </row>
    <row r="1536" spans="1:5" ht="28">
      <c r="A1536" s="362"/>
      <c r="B1536" s="365"/>
      <c r="C1536" s="368"/>
      <c r="D1536" s="98" t="s">
        <v>11</v>
      </c>
      <c r="E1536" s="108">
        <v>1</v>
      </c>
    </row>
    <row r="1537" spans="1:5" ht="15">
      <c r="A1537" s="362"/>
      <c r="B1537" s="365"/>
      <c r="C1537" s="368" t="s">
        <v>110</v>
      </c>
      <c r="D1537" s="97">
        <v>120</v>
      </c>
      <c r="E1537" s="107">
        <v>1</v>
      </c>
    </row>
    <row r="1538" spans="1:5" ht="28">
      <c r="A1538" s="362"/>
      <c r="B1538" s="365"/>
      <c r="C1538" s="368"/>
      <c r="D1538" s="98" t="s">
        <v>11</v>
      </c>
      <c r="E1538" s="108">
        <v>1</v>
      </c>
    </row>
    <row r="1539" spans="1:5" ht="15">
      <c r="A1539" s="362"/>
      <c r="B1539" s="365" t="s">
        <v>113</v>
      </c>
      <c r="C1539" s="368" t="s">
        <v>10</v>
      </c>
      <c r="D1539" s="97">
        <v>0</v>
      </c>
      <c r="E1539" s="107">
        <v>3393</v>
      </c>
    </row>
    <row r="1540" spans="1:5">
      <c r="A1540" s="362"/>
      <c r="B1540" s="365"/>
      <c r="C1540" s="368"/>
      <c r="D1540" s="98">
        <v>1</v>
      </c>
      <c r="E1540" s="108">
        <v>3921</v>
      </c>
    </row>
    <row r="1541" spans="1:5" ht="15">
      <c r="A1541" s="362"/>
      <c r="B1541" s="365"/>
      <c r="C1541" s="368"/>
      <c r="D1541" s="97">
        <v>2</v>
      </c>
      <c r="E1541" s="107">
        <v>4127</v>
      </c>
    </row>
    <row r="1542" spans="1:5">
      <c r="A1542" s="362"/>
      <c r="B1542" s="365"/>
      <c r="C1542" s="368"/>
      <c r="D1542" s="98">
        <v>3</v>
      </c>
      <c r="E1542" s="108">
        <v>4325</v>
      </c>
    </row>
    <row r="1543" spans="1:5" ht="15">
      <c r="A1543" s="362"/>
      <c r="B1543" s="365"/>
      <c r="C1543" s="368"/>
      <c r="D1543" s="97">
        <v>4</v>
      </c>
      <c r="E1543" s="107">
        <v>4246</v>
      </c>
    </row>
    <row r="1544" spans="1:5" ht="28">
      <c r="A1544" s="362"/>
      <c r="B1544" s="365"/>
      <c r="C1544" s="368"/>
      <c r="D1544" s="98" t="s">
        <v>11</v>
      </c>
      <c r="E1544" s="108">
        <v>20012</v>
      </c>
    </row>
    <row r="1545" spans="1:5" ht="15">
      <c r="A1545" s="362"/>
      <c r="B1545" s="365"/>
      <c r="C1545" s="368" t="s">
        <v>12</v>
      </c>
      <c r="D1545" s="97">
        <v>5</v>
      </c>
      <c r="E1545" s="107">
        <v>4370</v>
      </c>
    </row>
    <row r="1546" spans="1:5">
      <c r="A1546" s="362"/>
      <c r="B1546" s="365"/>
      <c r="C1546" s="368"/>
      <c r="D1546" s="98">
        <v>6</v>
      </c>
      <c r="E1546" s="108">
        <v>4570</v>
      </c>
    </row>
    <row r="1547" spans="1:5" ht="15">
      <c r="A1547" s="362"/>
      <c r="B1547" s="365"/>
      <c r="C1547" s="368"/>
      <c r="D1547" s="97">
        <v>7</v>
      </c>
      <c r="E1547" s="107">
        <v>4247</v>
      </c>
    </row>
    <row r="1548" spans="1:5">
      <c r="A1548" s="362"/>
      <c r="B1548" s="365"/>
      <c r="C1548" s="368"/>
      <c r="D1548" s="98">
        <v>8</v>
      </c>
      <c r="E1548" s="108">
        <v>4200</v>
      </c>
    </row>
    <row r="1549" spans="1:5" ht="15">
      <c r="A1549" s="362"/>
      <c r="B1549" s="365"/>
      <c r="C1549" s="368"/>
      <c r="D1549" s="97">
        <v>9</v>
      </c>
      <c r="E1549" s="107">
        <v>4232</v>
      </c>
    </row>
    <row r="1550" spans="1:5" ht="28">
      <c r="A1550" s="362"/>
      <c r="B1550" s="365"/>
      <c r="C1550" s="368"/>
      <c r="D1550" s="98" t="s">
        <v>11</v>
      </c>
      <c r="E1550" s="108">
        <v>21619</v>
      </c>
    </row>
    <row r="1551" spans="1:5" ht="15">
      <c r="A1551" s="362"/>
      <c r="B1551" s="365"/>
      <c r="C1551" s="368" t="s">
        <v>13</v>
      </c>
      <c r="D1551" s="97">
        <v>10</v>
      </c>
      <c r="E1551" s="107">
        <v>4159</v>
      </c>
    </row>
    <row r="1552" spans="1:5">
      <c r="A1552" s="362"/>
      <c r="B1552" s="365"/>
      <c r="C1552" s="368"/>
      <c r="D1552" s="98">
        <v>11</v>
      </c>
      <c r="E1552" s="108">
        <v>3770</v>
      </c>
    </row>
    <row r="1553" spans="1:5" ht="15">
      <c r="A1553" s="362"/>
      <c r="B1553" s="365"/>
      <c r="C1553" s="368"/>
      <c r="D1553" s="97">
        <v>12</v>
      </c>
      <c r="E1553" s="107">
        <v>3762</v>
      </c>
    </row>
    <row r="1554" spans="1:5">
      <c r="A1554" s="362"/>
      <c r="B1554" s="365"/>
      <c r="C1554" s="368"/>
      <c r="D1554" s="98">
        <v>13</v>
      </c>
      <c r="E1554" s="108">
        <v>3841</v>
      </c>
    </row>
    <row r="1555" spans="1:5" ht="15">
      <c r="A1555" s="362"/>
      <c r="B1555" s="365"/>
      <c r="C1555" s="368"/>
      <c r="D1555" s="97">
        <v>14</v>
      </c>
      <c r="E1555" s="107">
        <v>3653</v>
      </c>
    </row>
    <row r="1556" spans="1:5" ht="28">
      <c r="A1556" s="362"/>
      <c r="B1556" s="365"/>
      <c r="C1556" s="368"/>
      <c r="D1556" s="98" t="s">
        <v>11</v>
      </c>
      <c r="E1556" s="108">
        <v>19185</v>
      </c>
    </row>
    <row r="1557" spans="1:5" ht="15">
      <c r="A1557" s="362"/>
      <c r="B1557" s="365"/>
      <c r="C1557" s="368" t="s">
        <v>14</v>
      </c>
      <c r="D1557" s="97">
        <v>15</v>
      </c>
      <c r="E1557" s="107">
        <v>3809</v>
      </c>
    </row>
    <row r="1558" spans="1:5">
      <c r="A1558" s="362"/>
      <c r="B1558" s="365"/>
      <c r="C1558" s="368"/>
      <c r="D1558" s="98">
        <v>16</v>
      </c>
      <c r="E1558" s="108">
        <v>3388</v>
      </c>
    </row>
    <row r="1559" spans="1:5" ht="15">
      <c r="A1559" s="362"/>
      <c r="B1559" s="365"/>
      <c r="C1559" s="368"/>
      <c r="D1559" s="97">
        <v>17</v>
      </c>
      <c r="E1559" s="107">
        <v>3698</v>
      </c>
    </row>
    <row r="1560" spans="1:5">
      <c r="A1560" s="362"/>
      <c r="B1560" s="365"/>
      <c r="C1560" s="368"/>
      <c r="D1560" s="98">
        <v>18</v>
      </c>
      <c r="E1560" s="108">
        <v>3850</v>
      </c>
    </row>
    <row r="1561" spans="1:5" ht="15">
      <c r="A1561" s="362"/>
      <c r="B1561" s="365"/>
      <c r="C1561" s="368"/>
      <c r="D1561" s="97">
        <v>19</v>
      </c>
      <c r="E1561" s="107">
        <v>3442</v>
      </c>
    </row>
    <row r="1562" spans="1:5" ht="28">
      <c r="A1562" s="362"/>
      <c r="B1562" s="365"/>
      <c r="C1562" s="368"/>
      <c r="D1562" s="98" t="s">
        <v>11</v>
      </c>
      <c r="E1562" s="108">
        <v>18187</v>
      </c>
    </row>
    <row r="1563" spans="1:5" ht="15">
      <c r="A1563" s="362"/>
      <c r="B1563" s="365"/>
      <c r="C1563" s="368" t="s">
        <v>15</v>
      </c>
      <c r="D1563" s="97">
        <v>20</v>
      </c>
      <c r="E1563" s="107">
        <v>3337</v>
      </c>
    </row>
    <row r="1564" spans="1:5">
      <c r="A1564" s="362"/>
      <c r="B1564" s="365"/>
      <c r="C1564" s="368"/>
      <c r="D1564" s="98">
        <v>21</v>
      </c>
      <c r="E1564" s="108">
        <v>3392</v>
      </c>
    </row>
    <row r="1565" spans="1:5" ht="15">
      <c r="A1565" s="362"/>
      <c r="B1565" s="365"/>
      <c r="C1565" s="368"/>
      <c r="D1565" s="97">
        <v>22</v>
      </c>
      <c r="E1565" s="107">
        <v>3088</v>
      </c>
    </row>
    <row r="1566" spans="1:5">
      <c r="A1566" s="362"/>
      <c r="B1566" s="365"/>
      <c r="C1566" s="368"/>
      <c r="D1566" s="98">
        <v>23</v>
      </c>
      <c r="E1566" s="108">
        <v>2935</v>
      </c>
    </row>
    <row r="1567" spans="1:5" ht="15">
      <c r="A1567" s="362"/>
      <c r="B1567" s="365"/>
      <c r="C1567" s="368"/>
      <c r="D1567" s="97">
        <v>24</v>
      </c>
      <c r="E1567" s="107">
        <v>2773</v>
      </c>
    </row>
    <row r="1568" spans="1:5" ht="28">
      <c r="A1568" s="362"/>
      <c r="B1568" s="365"/>
      <c r="C1568" s="368"/>
      <c r="D1568" s="98" t="s">
        <v>11</v>
      </c>
      <c r="E1568" s="108">
        <v>15525</v>
      </c>
    </row>
    <row r="1569" spans="1:5" ht="15">
      <c r="A1569" s="362"/>
      <c r="B1569" s="365"/>
      <c r="C1569" s="368" t="s">
        <v>16</v>
      </c>
      <c r="D1569" s="97">
        <v>25</v>
      </c>
      <c r="E1569" s="107">
        <v>2628</v>
      </c>
    </row>
    <row r="1570" spans="1:5">
      <c r="A1570" s="362"/>
      <c r="B1570" s="365"/>
      <c r="C1570" s="368"/>
      <c r="D1570" s="98">
        <v>26</v>
      </c>
      <c r="E1570" s="108">
        <v>2554</v>
      </c>
    </row>
    <row r="1571" spans="1:5" ht="15">
      <c r="A1571" s="362"/>
      <c r="B1571" s="365"/>
      <c r="C1571" s="368"/>
      <c r="D1571" s="97">
        <v>27</v>
      </c>
      <c r="E1571" s="107">
        <v>2356</v>
      </c>
    </row>
    <row r="1572" spans="1:5">
      <c r="A1572" s="362"/>
      <c r="B1572" s="365"/>
      <c r="C1572" s="368"/>
      <c r="D1572" s="98">
        <v>28</v>
      </c>
      <c r="E1572" s="108">
        <v>2381</v>
      </c>
    </row>
    <row r="1573" spans="1:5" ht="15">
      <c r="A1573" s="362"/>
      <c r="B1573" s="365"/>
      <c r="C1573" s="368"/>
      <c r="D1573" s="97">
        <v>29</v>
      </c>
      <c r="E1573" s="107">
        <v>2206</v>
      </c>
    </row>
    <row r="1574" spans="1:5" ht="28">
      <c r="A1574" s="362"/>
      <c r="B1574" s="365"/>
      <c r="C1574" s="368"/>
      <c r="D1574" s="98" t="s">
        <v>11</v>
      </c>
      <c r="E1574" s="108">
        <v>12125</v>
      </c>
    </row>
    <row r="1575" spans="1:5" ht="15">
      <c r="A1575" s="362"/>
      <c r="B1575" s="365"/>
      <c r="C1575" s="368" t="s">
        <v>17</v>
      </c>
      <c r="D1575" s="97">
        <v>30</v>
      </c>
      <c r="E1575" s="107">
        <v>2666</v>
      </c>
    </row>
    <row r="1576" spans="1:5">
      <c r="A1576" s="362"/>
      <c r="B1576" s="365"/>
      <c r="C1576" s="368"/>
      <c r="D1576" s="98">
        <v>31</v>
      </c>
      <c r="E1576" s="108">
        <v>1930</v>
      </c>
    </row>
    <row r="1577" spans="1:5" ht="15">
      <c r="A1577" s="362"/>
      <c r="B1577" s="365"/>
      <c r="C1577" s="368"/>
      <c r="D1577" s="97">
        <v>32</v>
      </c>
      <c r="E1577" s="107">
        <v>1911</v>
      </c>
    </row>
    <row r="1578" spans="1:5">
      <c r="A1578" s="362"/>
      <c r="B1578" s="365"/>
      <c r="C1578" s="368"/>
      <c r="D1578" s="98">
        <v>33</v>
      </c>
      <c r="E1578" s="108">
        <v>2183</v>
      </c>
    </row>
    <row r="1579" spans="1:5" ht="15">
      <c r="A1579" s="362"/>
      <c r="B1579" s="365"/>
      <c r="C1579" s="368"/>
      <c r="D1579" s="97">
        <v>34</v>
      </c>
      <c r="E1579" s="107">
        <v>2497</v>
      </c>
    </row>
    <row r="1580" spans="1:5" ht="28">
      <c r="A1580" s="362"/>
      <c r="B1580" s="365"/>
      <c r="C1580" s="368"/>
      <c r="D1580" s="98" t="s">
        <v>11</v>
      </c>
      <c r="E1580" s="108">
        <v>11187</v>
      </c>
    </row>
    <row r="1581" spans="1:5" ht="15">
      <c r="A1581" s="362"/>
      <c r="B1581" s="365"/>
      <c r="C1581" s="368" t="s">
        <v>18</v>
      </c>
      <c r="D1581" s="97">
        <v>35</v>
      </c>
      <c r="E1581" s="107">
        <v>1892</v>
      </c>
    </row>
    <row r="1582" spans="1:5">
      <c r="A1582" s="362"/>
      <c r="B1582" s="365"/>
      <c r="C1582" s="368"/>
      <c r="D1582" s="98">
        <v>36</v>
      </c>
      <c r="E1582" s="108">
        <v>1966</v>
      </c>
    </row>
    <row r="1583" spans="1:5" ht="15">
      <c r="A1583" s="362"/>
      <c r="B1583" s="365"/>
      <c r="C1583" s="368"/>
      <c r="D1583" s="97">
        <v>37</v>
      </c>
      <c r="E1583" s="107">
        <v>1623</v>
      </c>
    </row>
    <row r="1584" spans="1:5">
      <c r="A1584" s="362"/>
      <c r="B1584" s="365"/>
      <c r="C1584" s="368"/>
      <c r="D1584" s="98">
        <v>38</v>
      </c>
      <c r="E1584" s="108">
        <v>1588</v>
      </c>
    </row>
    <row r="1585" spans="1:5" ht="15">
      <c r="A1585" s="362"/>
      <c r="B1585" s="365"/>
      <c r="C1585" s="368"/>
      <c r="D1585" s="97">
        <v>39</v>
      </c>
      <c r="E1585" s="107">
        <v>1956</v>
      </c>
    </row>
    <row r="1586" spans="1:5" ht="28">
      <c r="A1586" s="362"/>
      <c r="B1586" s="365"/>
      <c r="C1586" s="368"/>
      <c r="D1586" s="98" t="s">
        <v>11</v>
      </c>
      <c r="E1586" s="108">
        <v>9025</v>
      </c>
    </row>
    <row r="1587" spans="1:5" ht="15">
      <c r="A1587" s="362"/>
      <c r="B1587" s="365"/>
      <c r="C1587" s="368" t="s">
        <v>19</v>
      </c>
      <c r="D1587" s="97">
        <v>40</v>
      </c>
      <c r="E1587" s="107">
        <v>2025</v>
      </c>
    </row>
    <row r="1588" spans="1:5">
      <c r="A1588" s="362"/>
      <c r="B1588" s="365"/>
      <c r="C1588" s="368"/>
      <c r="D1588" s="98">
        <v>41</v>
      </c>
      <c r="E1588" s="108">
        <v>1462</v>
      </c>
    </row>
    <row r="1589" spans="1:5" ht="15">
      <c r="A1589" s="362"/>
      <c r="B1589" s="365"/>
      <c r="C1589" s="368"/>
      <c r="D1589" s="97">
        <v>42</v>
      </c>
      <c r="E1589" s="107">
        <v>1454</v>
      </c>
    </row>
    <row r="1590" spans="1:5">
      <c r="A1590" s="362"/>
      <c r="B1590" s="365"/>
      <c r="C1590" s="368"/>
      <c r="D1590" s="98">
        <v>43</v>
      </c>
      <c r="E1590" s="108">
        <v>1517</v>
      </c>
    </row>
    <row r="1591" spans="1:5" ht="15">
      <c r="A1591" s="362"/>
      <c r="B1591" s="365"/>
      <c r="C1591" s="368"/>
      <c r="D1591" s="97">
        <v>44</v>
      </c>
      <c r="E1591" s="107">
        <v>1232</v>
      </c>
    </row>
    <row r="1592" spans="1:5" ht="28">
      <c r="A1592" s="362"/>
      <c r="B1592" s="365"/>
      <c r="C1592" s="368"/>
      <c r="D1592" s="98" t="s">
        <v>11</v>
      </c>
      <c r="E1592" s="108">
        <v>7690</v>
      </c>
    </row>
    <row r="1593" spans="1:5" ht="15">
      <c r="A1593" s="362"/>
      <c r="B1593" s="365"/>
      <c r="C1593" s="368" t="s">
        <v>20</v>
      </c>
      <c r="D1593" s="97">
        <v>45</v>
      </c>
      <c r="E1593" s="107">
        <v>1315</v>
      </c>
    </row>
    <row r="1594" spans="1:5">
      <c r="A1594" s="362"/>
      <c r="B1594" s="365"/>
      <c r="C1594" s="368"/>
      <c r="D1594" s="98">
        <v>46</v>
      </c>
      <c r="E1594" s="108">
        <v>1027</v>
      </c>
    </row>
    <row r="1595" spans="1:5" ht="15">
      <c r="A1595" s="362"/>
      <c r="B1595" s="365"/>
      <c r="C1595" s="368"/>
      <c r="D1595" s="97">
        <v>47</v>
      </c>
      <c r="E1595" s="107">
        <v>1226</v>
      </c>
    </row>
    <row r="1596" spans="1:5">
      <c r="A1596" s="362"/>
      <c r="B1596" s="365"/>
      <c r="C1596" s="368"/>
      <c r="D1596" s="98">
        <v>48</v>
      </c>
      <c r="E1596" s="108">
        <v>1308</v>
      </c>
    </row>
    <row r="1597" spans="1:5" ht="15">
      <c r="A1597" s="362"/>
      <c r="B1597" s="365"/>
      <c r="C1597" s="368"/>
      <c r="D1597" s="97">
        <v>49</v>
      </c>
      <c r="E1597" s="107">
        <v>976</v>
      </c>
    </row>
    <row r="1598" spans="1:5" ht="28">
      <c r="A1598" s="362"/>
      <c r="B1598" s="365"/>
      <c r="C1598" s="368"/>
      <c r="D1598" s="98" t="s">
        <v>11</v>
      </c>
      <c r="E1598" s="108">
        <v>5852</v>
      </c>
    </row>
    <row r="1599" spans="1:5" ht="15">
      <c r="A1599" s="362"/>
      <c r="B1599" s="365"/>
      <c r="C1599" s="368" t="s">
        <v>21</v>
      </c>
      <c r="D1599" s="97">
        <v>50</v>
      </c>
      <c r="E1599" s="107">
        <v>945</v>
      </c>
    </row>
    <row r="1600" spans="1:5">
      <c r="A1600" s="362"/>
      <c r="B1600" s="365"/>
      <c r="C1600" s="368"/>
      <c r="D1600" s="98">
        <v>51</v>
      </c>
      <c r="E1600" s="108">
        <v>1019</v>
      </c>
    </row>
    <row r="1601" spans="1:5" ht="15">
      <c r="A1601" s="362"/>
      <c r="B1601" s="365"/>
      <c r="C1601" s="368"/>
      <c r="D1601" s="97">
        <v>52</v>
      </c>
      <c r="E1601" s="107">
        <v>1034</v>
      </c>
    </row>
    <row r="1602" spans="1:5">
      <c r="A1602" s="362"/>
      <c r="B1602" s="365"/>
      <c r="C1602" s="368"/>
      <c r="D1602" s="98">
        <v>53</v>
      </c>
      <c r="E1602" s="108">
        <v>1037</v>
      </c>
    </row>
    <row r="1603" spans="1:5" ht="15">
      <c r="A1603" s="362"/>
      <c r="B1603" s="365"/>
      <c r="C1603" s="368"/>
      <c r="D1603" s="97">
        <v>54</v>
      </c>
      <c r="E1603" s="107">
        <v>889</v>
      </c>
    </row>
    <row r="1604" spans="1:5" ht="28">
      <c r="A1604" s="362"/>
      <c r="B1604" s="365"/>
      <c r="C1604" s="368"/>
      <c r="D1604" s="98" t="s">
        <v>11</v>
      </c>
      <c r="E1604" s="108">
        <v>4924</v>
      </c>
    </row>
    <row r="1605" spans="1:5" ht="15">
      <c r="A1605" s="362"/>
      <c r="B1605" s="365"/>
      <c r="C1605" s="368" t="s">
        <v>22</v>
      </c>
      <c r="D1605" s="97">
        <v>55</v>
      </c>
      <c r="E1605" s="107">
        <v>945</v>
      </c>
    </row>
    <row r="1606" spans="1:5">
      <c r="A1606" s="362"/>
      <c r="B1606" s="365"/>
      <c r="C1606" s="368"/>
      <c r="D1606" s="98">
        <v>56</v>
      </c>
      <c r="E1606" s="108">
        <v>1014</v>
      </c>
    </row>
    <row r="1607" spans="1:5" ht="15">
      <c r="A1607" s="362"/>
      <c r="B1607" s="365"/>
      <c r="C1607" s="368"/>
      <c r="D1607" s="97">
        <v>57</v>
      </c>
      <c r="E1607" s="107">
        <v>977</v>
      </c>
    </row>
    <row r="1608" spans="1:5">
      <c r="A1608" s="362"/>
      <c r="B1608" s="365"/>
      <c r="C1608" s="368"/>
      <c r="D1608" s="98">
        <v>58</v>
      </c>
      <c r="E1608" s="108">
        <v>1007</v>
      </c>
    </row>
    <row r="1609" spans="1:5" ht="15">
      <c r="A1609" s="362"/>
      <c r="B1609" s="365"/>
      <c r="C1609" s="368"/>
      <c r="D1609" s="97">
        <v>59</v>
      </c>
      <c r="E1609" s="107">
        <v>773</v>
      </c>
    </row>
    <row r="1610" spans="1:5" ht="28">
      <c r="A1610" s="362"/>
      <c r="B1610" s="365"/>
      <c r="C1610" s="368"/>
      <c r="D1610" s="98" t="s">
        <v>11</v>
      </c>
      <c r="E1610" s="108">
        <v>4716</v>
      </c>
    </row>
    <row r="1611" spans="1:5" ht="15">
      <c r="A1611" s="362"/>
      <c r="B1611" s="365"/>
      <c r="C1611" s="368" t="s">
        <v>23</v>
      </c>
      <c r="D1611" s="97">
        <v>60</v>
      </c>
      <c r="E1611" s="107">
        <v>806</v>
      </c>
    </row>
    <row r="1612" spans="1:5">
      <c r="A1612" s="362"/>
      <c r="B1612" s="365"/>
      <c r="C1612" s="368"/>
      <c r="D1612" s="98">
        <v>61</v>
      </c>
      <c r="E1612" s="108">
        <v>538</v>
      </c>
    </row>
    <row r="1613" spans="1:5" ht="15">
      <c r="A1613" s="362"/>
      <c r="B1613" s="365"/>
      <c r="C1613" s="368"/>
      <c r="D1613" s="97">
        <v>62</v>
      </c>
      <c r="E1613" s="107">
        <v>434</v>
      </c>
    </row>
    <row r="1614" spans="1:5">
      <c r="A1614" s="362"/>
      <c r="B1614" s="365"/>
      <c r="C1614" s="368"/>
      <c r="D1614" s="98">
        <v>63</v>
      </c>
      <c r="E1614" s="108">
        <v>407</v>
      </c>
    </row>
    <row r="1615" spans="1:5" ht="15">
      <c r="A1615" s="362"/>
      <c r="B1615" s="365"/>
      <c r="C1615" s="368"/>
      <c r="D1615" s="97">
        <v>64</v>
      </c>
      <c r="E1615" s="107">
        <v>371</v>
      </c>
    </row>
    <row r="1616" spans="1:5" ht="28">
      <c r="A1616" s="362"/>
      <c r="B1616" s="365"/>
      <c r="C1616" s="368"/>
      <c r="D1616" s="98" t="s">
        <v>11</v>
      </c>
      <c r="E1616" s="108">
        <v>2556</v>
      </c>
    </row>
    <row r="1617" spans="1:5" ht="15">
      <c r="A1617" s="362"/>
      <c r="B1617" s="365"/>
      <c r="C1617" s="368" t="s">
        <v>24</v>
      </c>
      <c r="D1617" s="97">
        <v>65</v>
      </c>
      <c r="E1617" s="107">
        <v>493</v>
      </c>
    </row>
    <row r="1618" spans="1:5">
      <c r="A1618" s="362"/>
      <c r="B1618" s="365"/>
      <c r="C1618" s="368"/>
      <c r="D1618" s="98">
        <v>66</v>
      </c>
      <c r="E1618" s="108">
        <v>505</v>
      </c>
    </row>
    <row r="1619" spans="1:5" ht="15">
      <c r="A1619" s="362"/>
      <c r="B1619" s="365"/>
      <c r="C1619" s="368"/>
      <c r="D1619" s="97">
        <v>67</v>
      </c>
      <c r="E1619" s="107">
        <v>672</v>
      </c>
    </row>
    <row r="1620" spans="1:5">
      <c r="A1620" s="362"/>
      <c r="B1620" s="365"/>
      <c r="C1620" s="368"/>
      <c r="D1620" s="98">
        <v>68</v>
      </c>
      <c r="E1620" s="108">
        <v>635</v>
      </c>
    </row>
    <row r="1621" spans="1:5" ht="15">
      <c r="A1621" s="362"/>
      <c r="B1621" s="365"/>
      <c r="C1621" s="368"/>
      <c r="D1621" s="97">
        <v>69</v>
      </c>
      <c r="E1621" s="107">
        <v>461</v>
      </c>
    </row>
    <row r="1622" spans="1:5" ht="28">
      <c r="A1622" s="362"/>
      <c r="B1622" s="365"/>
      <c r="C1622" s="368"/>
      <c r="D1622" s="98" t="s">
        <v>11</v>
      </c>
      <c r="E1622" s="108">
        <v>2766</v>
      </c>
    </row>
    <row r="1623" spans="1:5" ht="15">
      <c r="A1623" s="362"/>
      <c r="B1623" s="365"/>
      <c r="C1623" s="368" t="s">
        <v>25</v>
      </c>
      <c r="D1623" s="97">
        <v>70</v>
      </c>
      <c r="E1623" s="107">
        <v>636</v>
      </c>
    </row>
    <row r="1624" spans="1:5">
      <c r="A1624" s="362"/>
      <c r="B1624" s="365"/>
      <c r="C1624" s="368"/>
      <c r="D1624" s="98">
        <v>71</v>
      </c>
      <c r="E1624" s="108">
        <v>407</v>
      </c>
    </row>
    <row r="1625" spans="1:5" ht="15">
      <c r="A1625" s="362"/>
      <c r="B1625" s="365"/>
      <c r="C1625" s="368"/>
      <c r="D1625" s="97">
        <v>72</v>
      </c>
      <c r="E1625" s="107">
        <v>367</v>
      </c>
    </row>
    <row r="1626" spans="1:5">
      <c r="A1626" s="362"/>
      <c r="B1626" s="365"/>
      <c r="C1626" s="368"/>
      <c r="D1626" s="98">
        <v>73</v>
      </c>
      <c r="E1626" s="108">
        <v>247</v>
      </c>
    </row>
    <row r="1627" spans="1:5" ht="15">
      <c r="A1627" s="362"/>
      <c r="B1627" s="365"/>
      <c r="C1627" s="368"/>
      <c r="D1627" s="97">
        <v>74</v>
      </c>
      <c r="E1627" s="107">
        <v>291</v>
      </c>
    </row>
    <row r="1628" spans="1:5" ht="28">
      <c r="A1628" s="362"/>
      <c r="B1628" s="365"/>
      <c r="C1628" s="368"/>
      <c r="D1628" s="98" t="s">
        <v>11</v>
      </c>
      <c r="E1628" s="108">
        <v>1948</v>
      </c>
    </row>
    <row r="1629" spans="1:5" ht="15">
      <c r="A1629" s="362"/>
      <c r="B1629" s="365"/>
      <c r="C1629" s="368" t="s">
        <v>26</v>
      </c>
      <c r="D1629" s="97">
        <v>75</v>
      </c>
      <c r="E1629" s="107">
        <v>274</v>
      </c>
    </row>
    <row r="1630" spans="1:5">
      <c r="A1630" s="362"/>
      <c r="B1630" s="365"/>
      <c r="C1630" s="368"/>
      <c r="D1630" s="98">
        <v>76</v>
      </c>
      <c r="E1630" s="108">
        <v>242</v>
      </c>
    </row>
    <row r="1631" spans="1:5" ht="15">
      <c r="A1631" s="362"/>
      <c r="B1631" s="365"/>
      <c r="C1631" s="368"/>
      <c r="D1631" s="97">
        <v>77</v>
      </c>
      <c r="E1631" s="107">
        <v>396</v>
      </c>
    </row>
    <row r="1632" spans="1:5">
      <c r="A1632" s="362"/>
      <c r="B1632" s="365"/>
      <c r="C1632" s="368"/>
      <c r="D1632" s="98">
        <v>78</v>
      </c>
      <c r="E1632" s="108">
        <v>358</v>
      </c>
    </row>
    <row r="1633" spans="1:5" ht="15">
      <c r="A1633" s="362"/>
      <c r="B1633" s="365"/>
      <c r="C1633" s="368"/>
      <c r="D1633" s="97">
        <v>79</v>
      </c>
      <c r="E1633" s="107">
        <v>271</v>
      </c>
    </row>
    <row r="1634" spans="1:5" ht="28">
      <c r="A1634" s="362"/>
      <c r="B1634" s="365"/>
      <c r="C1634" s="368"/>
      <c r="D1634" s="98" t="s">
        <v>11</v>
      </c>
      <c r="E1634" s="108">
        <v>1541</v>
      </c>
    </row>
    <row r="1635" spans="1:5" ht="15">
      <c r="A1635" s="362"/>
      <c r="B1635" s="365"/>
      <c r="C1635" s="368" t="s">
        <v>27</v>
      </c>
      <c r="D1635" s="97">
        <v>80</v>
      </c>
      <c r="E1635" s="107">
        <v>242</v>
      </c>
    </row>
    <row r="1636" spans="1:5">
      <c r="A1636" s="362"/>
      <c r="B1636" s="365"/>
      <c r="C1636" s="368"/>
      <c r="D1636" s="98">
        <v>81</v>
      </c>
      <c r="E1636" s="108">
        <v>137</v>
      </c>
    </row>
    <row r="1637" spans="1:5" ht="15">
      <c r="A1637" s="362"/>
      <c r="B1637" s="365"/>
      <c r="C1637" s="368"/>
      <c r="D1637" s="97">
        <v>82</v>
      </c>
      <c r="E1637" s="107">
        <v>217</v>
      </c>
    </row>
    <row r="1638" spans="1:5">
      <c r="A1638" s="362"/>
      <c r="B1638" s="365"/>
      <c r="C1638" s="368"/>
      <c r="D1638" s="98">
        <v>83</v>
      </c>
      <c r="E1638" s="108">
        <v>128</v>
      </c>
    </row>
    <row r="1639" spans="1:5" ht="15">
      <c r="A1639" s="362"/>
      <c r="B1639" s="365"/>
      <c r="C1639" s="368"/>
      <c r="D1639" s="97">
        <v>84</v>
      </c>
      <c r="E1639" s="107">
        <v>130</v>
      </c>
    </row>
    <row r="1640" spans="1:5" ht="28">
      <c r="A1640" s="362"/>
      <c r="B1640" s="365"/>
      <c r="C1640" s="368"/>
      <c r="D1640" s="98" t="s">
        <v>11</v>
      </c>
      <c r="E1640" s="108">
        <v>854</v>
      </c>
    </row>
    <row r="1641" spans="1:5" ht="15">
      <c r="A1641" s="362"/>
      <c r="B1641" s="365"/>
      <c r="C1641" s="368" t="s">
        <v>28</v>
      </c>
      <c r="D1641" s="97">
        <v>85</v>
      </c>
      <c r="E1641" s="107">
        <v>153</v>
      </c>
    </row>
    <row r="1642" spans="1:5">
      <c r="A1642" s="362"/>
      <c r="B1642" s="365"/>
      <c r="C1642" s="368"/>
      <c r="D1642" s="98">
        <v>86</v>
      </c>
      <c r="E1642" s="108">
        <v>82</v>
      </c>
    </row>
    <row r="1643" spans="1:5" ht="15">
      <c r="A1643" s="362"/>
      <c r="B1643" s="365"/>
      <c r="C1643" s="368"/>
      <c r="D1643" s="97">
        <v>87</v>
      </c>
      <c r="E1643" s="107">
        <v>165</v>
      </c>
    </row>
    <row r="1644" spans="1:5">
      <c r="A1644" s="362"/>
      <c r="B1644" s="365"/>
      <c r="C1644" s="368"/>
      <c r="D1644" s="98">
        <v>88</v>
      </c>
      <c r="E1644" s="108">
        <v>114</v>
      </c>
    </row>
    <row r="1645" spans="1:5" ht="15">
      <c r="A1645" s="362"/>
      <c r="B1645" s="365"/>
      <c r="C1645" s="368"/>
      <c r="D1645" s="97">
        <v>89</v>
      </c>
      <c r="E1645" s="107">
        <v>84</v>
      </c>
    </row>
    <row r="1646" spans="1:5" ht="28">
      <c r="A1646" s="362"/>
      <c r="B1646" s="365"/>
      <c r="C1646" s="368"/>
      <c r="D1646" s="98" t="s">
        <v>11</v>
      </c>
      <c r="E1646" s="108">
        <v>598</v>
      </c>
    </row>
    <row r="1647" spans="1:5" ht="15">
      <c r="A1647" s="362"/>
      <c r="B1647" s="365"/>
      <c r="C1647" s="368" t="s">
        <v>29</v>
      </c>
      <c r="D1647" s="97">
        <v>90</v>
      </c>
      <c r="E1647" s="107">
        <v>59</v>
      </c>
    </row>
    <row r="1648" spans="1:5">
      <c r="A1648" s="362"/>
      <c r="B1648" s="365"/>
      <c r="C1648" s="368"/>
      <c r="D1648" s="98">
        <v>91</v>
      </c>
      <c r="E1648" s="108">
        <v>34</v>
      </c>
    </row>
    <row r="1649" spans="1:5" ht="15">
      <c r="A1649" s="362"/>
      <c r="B1649" s="365"/>
      <c r="C1649" s="368"/>
      <c r="D1649" s="97">
        <v>92</v>
      </c>
      <c r="E1649" s="107">
        <v>59</v>
      </c>
    </row>
    <row r="1650" spans="1:5">
      <c r="A1650" s="362"/>
      <c r="B1650" s="365"/>
      <c r="C1650" s="368"/>
      <c r="D1650" s="98">
        <v>93</v>
      </c>
      <c r="E1650" s="108">
        <v>30</v>
      </c>
    </row>
    <row r="1651" spans="1:5" ht="15">
      <c r="A1651" s="362"/>
      <c r="B1651" s="365"/>
      <c r="C1651" s="368"/>
      <c r="D1651" s="97">
        <v>94</v>
      </c>
      <c r="E1651" s="107">
        <v>30</v>
      </c>
    </row>
    <row r="1652" spans="1:5" ht="28">
      <c r="A1652" s="362"/>
      <c r="B1652" s="365"/>
      <c r="C1652" s="368"/>
      <c r="D1652" s="98" t="s">
        <v>11</v>
      </c>
      <c r="E1652" s="108">
        <v>212</v>
      </c>
    </row>
    <row r="1653" spans="1:5" ht="15">
      <c r="A1653" s="362"/>
      <c r="B1653" s="365"/>
      <c r="C1653" s="368" t="s">
        <v>30</v>
      </c>
      <c r="D1653" s="97">
        <v>95</v>
      </c>
      <c r="E1653" s="107">
        <v>28</v>
      </c>
    </row>
    <row r="1654" spans="1:5">
      <c r="A1654" s="362"/>
      <c r="B1654" s="365"/>
      <c r="C1654" s="368"/>
      <c r="D1654" s="98">
        <v>96</v>
      </c>
      <c r="E1654" s="108">
        <v>16</v>
      </c>
    </row>
    <row r="1655" spans="1:5" ht="15">
      <c r="A1655" s="362"/>
      <c r="B1655" s="365"/>
      <c r="C1655" s="368"/>
      <c r="D1655" s="97">
        <v>97</v>
      </c>
      <c r="E1655" s="107">
        <v>44</v>
      </c>
    </row>
    <row r="1656" spans="1:5">
      <c r="A1656" s="362"/>
      <c r="B1656" s="365"/>
      <c r="C1656" s="368"/>
      <c r="D1656" s="98">
        <v>98</v>
      </c>
      <c r="E1656" s="108">
        <v>21</v>
      </c>
    </row>
    <row r="1657" spans="1:5" ht="15">
      <c r="A1657" s="362"/>
      <c r="B1657" s="365"/>
      <c r="C1657" s="368"/>
      <c r="D1657" s="97">
        <v>99</v>
      </c>
      <c r="E1657" s="107">
        <v>12</v>
      </c>
    </row>
    <row r="1658" spans="1:5" ht="28">
      <c r="A1658" s="362"/>
      <c r="B1658" s="365"/>
      <c r="C1658" s="368"/>
      <c r="D1658" s="98" t="s">
        <v>11</v>
      </c>
      <c r="E1658" s="108">
        <v>121</v>
      </c>
    </row>
    <row r="1659" spans="1:5" ht="15">
      <c r="A1659" s="362"/>
      <c r="B1659" s="365"/>
      <c r="C1659" s="368" t="s">
        <v>31</v>
      </c>
      <c r="D1659" s="97">
        <v>100</v>
      </c>
      <c r="E1659" s="107">
        <v>12</v>
      </c>
    </row>
    <row r="1660" spans="1:5">
      <c r="A1660" s="362"/>
      <c r="B1660" s="365"/>
      <c r="C1660" s="368"/>
      <c r="D1660" s="98">
        <v>101</v>
      </c>
      <c r="E1660" s="108">
        <v>8</v>
      </c>
    </row>
    <row r="1661" spans="1:5" ht="15">
      <c r="A1661" s="362"/>
      <c r="B1661" s="365"/>
      <c r="C1661" s="368"/>
      <c r="D1661" s="97">
        <v>102</v>
      </c>
      <c r="E1661" s="107">
        <v>10</v>
      </c>
    </row>
    <row r="1662" spans="1:5">
      <c r="A1662" s="362"/>
      <c r="B1662" s="365"/>
      <c r="C1662" s="368"/>
      <c r="D1662" s="98">
        <v>103</v>
      </c>
      <c r="E1662" s="108">
        <v>6</v>
      </c>
    </row>
    <row r="1663" spans="1:5" ht="15">
      <c r="A1663" s="362"/>
      <c r="B1663" s="365"/>
      <c r="C1663" s="368"/>
      <c r="D1663" s="97">
        <v>104</v>
      </c>
      <c r="E1663" s="107">
        <v>5</v>
      </c>
    </row>
    <row r="1664" spans="1:5" ht="28">
      <c r="A1664" s="362"/>
      <c r="B1664" s="365"/>
      <c r="C1664" s="368"/>
      <c r="D1664" s="98" t="s">
        <v>11</v>
      </c>
      <c r="E1664" s="108">
        <v>41</v>
      </c>
    </row>
    <row r="1665" spans="1:5" ht="15">
      <c r="A1665" s="362"/>
      <c r="B1665" s="365"/>
      <c r="C1665" s="368" t="s">
        <v>32</v>
      </c>
      <c r="D1665" s="97">
        <v>105</v>
      </c>
      <c r="E1665" s="107">
        <v>3</v>
      </c>
    </row>
    <row r="1666" spans="1:5">
      <c r="A1666" s="362"/>
      <c r="B1666" s="365"/>
      <c r="C1666" s="368"/>
      <c r="D1666" s="98">
        <v>106</v>
      </c>
      <c r="E1666" s="108">
        <v>3</v>
      </c>
    </row>
    <row r="1667" spans="1:5" ht="15">
      <c r="A1667" s="362"/>
      <c r="B1667" s="365"/>
      <c r="C1667" s="368"/>
      <c r="D1667" s="97">
        <v>107</v>
      </c>
      <c r="E1667" s="107">
        <v>8</v>
      </c>
    </row>
    <row r="1668" spans="1:5">
      <c r="A1668" s="362"/>
      <c r="B1668" s="365"/>
      <c r="C1668" s="368"/>
      <c r="D1668" s="98">
        <v>108</v>
      </c>
      <c r="E1668" s="108">
        <v>4</v>
      </c>
    </row>
    <row r="1669" spans="1:5" ht="28">
      <c r="A1669" s="362"/>
      <c r="B1669" s="365"/>
      <c r="C1669" s="368"/>
      <c r="D1669" s="97" t="s">
        <v>11</v>
      </c>
      <c r="E1669" s="107">
        <v>18</v>
      </c>
    </row>
    <row r="1670" spans="1:5">
      <c r="A1670" s="362"/>
      <c r="B1670" s="365"/>
      <c r="C1670" s="368" t="s">
        <v>33</v>
      </c>
      <c r="D1670" s="98">
        <v>110</v>
      </c>
      <c r="E1670" s="108">
        <v>3</v>
      </c>
    </row>
    <row r="1671" spans="1:5" ht="15">
      <c r="A1671" s="362"/>
      <c r="B1671" s="365"/>
      <c r="C1671" s="368"/>
      <c r="D1671" s="97">
        <v>112</v>
      </c>
      <c r="E1671" s="107">
        <v>2</v>
      </c>
    </row>
    <row r="1672" spans="1:5">
      <c r="A1672" s="362"/>
      <c r="B1672" s="365"/>
      <c r="C1672" s="368"/>
      <c r="D1672" s="98">
        <v>114</v>
      </c>
      <c r="E1672" s="108">
        <v>1</v>
      </c>
    </row>
    <row r="1673" spans="1:5" ht="28">
      <c r="A1673" s="362"/>
      <c r="B1673" s="365"/>
      <c r="C1673" s="368"/>
      <c r="D1673" s="97" t="s">
        <v>11</v>
      </c>
      <c r="E1673" s="107">
        <v>6</v>
      </c>
    </row>
    <row r="1674" spans="1:5">
      <c r="A1674" s="362"/>
      <c r="B1674" s="365"/>
      <c r="C1674" s="368" t="s">
        <v>34</v>
      </c>
      <c r="D1674" s="98">
        <v>116</v>
      </c>
      <c r="E1674" s="108">
        <v>1</v>
      </c>
    </row>
    <row r="1675" spans="1:5" ht="15">
      <c r="A1675" s="362"/>
      <c r="B1675" s="365"/>
      <c r="C1675" s="368"/>
      <c r="D1675" s="97">
        <v>117</v>
      </c>
      <c r="E1675" s="107">
        <v>1</v>
      </c>
    </row>
    <row r="1676" spans="1:5" ht="28">
      <c r="A1676" s="362"/>
      <c r="B1676" s="365"/>
      <c r="C1676" s="368"/>
      <c r="D1676" s="98" t="s">
        <v>11</v>
      </c>
      <c r="E1676" s="108">
        <v>2</v>
      </c>
    </row>
    <row r="1677" spans="1:5" ht="15">
      <c r="A1677" s="362"/>
      <c r="B1677" s="365"/>
      <c r="C1677" s="368" t="s">
        <v>110</v>
      </c>
      <c r="D1677" s="97">
        <v>121</v>
      </c>
      <c r="E1677" s="107">
        <v>1</v>
      </c>
    </row>
    <row r="1678" spans="1:5" ht="28">
      <c r="A1678" s="362"/>
      <c r="B1678" s="365"/>
      <c r="C1678" s="368"/>
      <c r="D1678" s="98" t="s">
        <v>11</v>
      </c>
      <c r="E1678" s="108">
        <v>1</v>
      </c>
    </row>
    <row r="1679" spans="1:5" ht="15">
      <c r="A1679" s="362"/>
      <c r="B1679" s="365" t="s">
        <v>114</v>
      </c>
      <c r="C1679" s="368" t="s">
        <v>10</v>
      </c>
      <c r="D1679" s="97">
        <v>0</v>
      </c>
      <c r="E1679" s="107">
        <v>145</v>
      </c>
    </row>
    <row r="1680" spans="1:5">
      <c r="A1680" s="362"/>
      <c r="B1680" s="365"/>
      <c r="C1680" s="368"/>
      <c r="D1680" s="98">
        <v>1</v>
      </c>
      <c r="E1680" s="108">
        <v>178</v>
      </c>
    </row>
    <row r="1681" spans="1:5" ht="15">
      <c r="A1681" s="362"/>
      <c r="B1681" s="365"/>
      <c r="C1681" s="368"/>
      <c r="D1681" s="97">
        <v>2</v>
      </c>
      <c r="E1681" s="107">
        <v>174</v>
      </c>
    </row>
    <row r="1682" spans="1:5">
      <c r="A1682" s="362"/>
      <c r="B1682" s="365"/>
      <c r="C1682" s="368"/>
      <c r="D1682" s="98">
        <v>3</v>
      </c>
      <c r="E1682" s="108">
        <v>186</v>
      </c>
    </row>
    <row r="1683" spans="1:5" ht="15">
      <c r="A1683" s="362"/>
      <c r="B1683" s="365"/>
      <c r="C1683" s="368"/>
      <c r="D1683" s="97">
        <v>4</v>
      </c>
      <c r="E1683" s="107">
        <v>184</v>
      </c>
    </row>
    <row r="1684" spans="1:5" ht="28">
      <c r="A1684" s="362"/>
      <c r="B1684" s="365"/>
      <c r="C1684" s="368"/>
      <c r="D1684" s="98" t="s">
        <v>11</v>
      </c>
      <c r="E1684" s="108">
        <v>867</v>
      </c>
    </row>
    <row r="1685" spans="1:5" ht="15">
      <c r="A1685" s="362"/>
      <c r="B1685" s="365"/>
      <c r="C1685" s="368" t="s">
        <v>12</v>
      </c>
      <c r="D1685" s="97">
        <v>5</v>
      </c>
      <c r="E1685" s="107">
        <v>182</v>
      </c>
    </row>
    <row r="1686" spans="1:5">
      <c r="A1686" s="362"/>
      <c r="B1686" s="365"/>
      <c r="C1686" s="368"/>
      <c r="D1686" s="98">
        <v>6</v>
      </c>
      <c r="E1686" s="108">
        <v>152</v>
      </c>
    </row>
    <row r="1687" spans="1:5" ht="15">
      <c r="A1687" s="362"/>
      <c r="B1687" s="365"/>
      <c r="C1687" s="368"/>
      <c r="D1687" s="97">
        <v>7</v>
      </c>
      <c r="E1687" s="107">
        <v>209</v>
      </c>
    </row>
    <row r="1688" spans="1:5">
      <c r="A1688" s="362"/>
      <c r="B1688" s="365"/>
      <c r="C1688" s="368"/>
      <c r="D1688" s="98">
        <v>8</v>
      </c>
      <c r="E1688" s="108">
        <v>173</v>
      </c>
    </row>
    <row r="1689" spans="1:5" ht="15">
      <c r="A1689" s="362"/>
      <c r="B1689" s="365"/>
      <c r="C1689" s="368"/>
      <c r="D1689" s="97">
        <v>9</v>
      </c>
      <c r="E1689" s="107">
        <v>158</v>
      </c>
    </row>
    <row r="1690" spans="1:5" ht="28">
      <c r="A1690" s="362"/>
      <c r="B1690" s="365"/>
      <c r="C1690" s="368"/>
      <c r="D1690" s="98" t="s">
        <v>11</v>
      </c>
      <c r="E1690" s="108">
        <v>874</v>
      </c>
    </row>
    <row r="1691" spans="1:5" ht="15">
      <c r="A1691" s="362"/>
      <c r="B1691" s="365"/>
      <c r="C1691" s="368" t="s">
        <v>13</v>
      </c>
      <c r="D1691" s="97">
        <v>10</v>
      </c>
      <c r="E1691" s="107">
        <v>196</v>
      </c>
    </row>
    <row r="1692" spans="1:5">
      <c r="A1692" s="362"/>
      <c r="B1692" s="365"/>
      <c r="C1692" s="368"/>
      <c r="D1692" s="98">
        <v>11</v>
      </c>
      <c r="E1692" s="108">
        <v>177</v>
      </c>
    </row>
    <row r="1693" spans="1:5" ht="15">
      <c r="A1693" s="362"/>
      <c r="B1693" s="365"/>
      <c r="C1693" s="368"/>
      <c r="D1693" s="97">
        <v>12</v>
      </c>
      <c r="E1693" s="107">
        <v>160</v>
      </c>
    </row>
    <row r="1694" spans="1:5">
      <c r="A1694" s="362"/>
      <c r="B1694" s="365"/>
      <c r="C1694" s="368"/>
      <c r="D1694" s="98">
        <v>13</v>
      </c>
      <c r="E1694" s="108">
        <v>194</v>
      </c>
    </row>
    <row r="1695" spans="1:5" ht="15">
      <c r="A1695" s="362"/>
      <c r="B1695" s="365"/>
      <c r="C1695" s="368"/>
      <c r="D1695" s="97">
        <v>14</v>
      </c>
      <c r="E1695" s="107">
        <v>184</v>
      </c>
    </row>
    <row r="1696" spans="1:5" ht="28">
      <c r="A1696" s="362"/>
      <c r="B1696" s="365"/>
      <c r="C1696" s="368"/>
      <c r="D1696" s="98" t="s">
        <v>11</v>
      </c>
      <c r="E1696" s="108">
        <v>911</v>
      </c>
    </row>
    <row r="1697" spans="1:5" ht="15">
      <c r="A1697" s="362"/>
      <c r="B1697" s="365"/>
      <c r="C1697" s="368" t="s">
        <v>14</v>
      </c>
      <c r="D1697" s="97">
        <v>15</v>
      </c>
      <c r="E1697" s="107">
        <v>226</v>
      </c>
    </row>
    <row r="1698" spans="1:5">
      <c r="A1698" s="362"/>
      <c r="B1698" s="365"/>
      <c r="C1698" s="368"/>
      <c r="D1698" s="98">
        <v>16</v>
      </c>
      <c r="E1698" s="108">
        <v>203</v>
      </c>
    </row>
    <row r="1699" spans="1:5" ht="15">
      <c r="A1699" s="362"/>
      <c r="B1699" s="365"/>
      <c r="C1699" s="368"/>
      <c r="D1699" s="97">
        <v>17</v>
      </c>
      <c r="E1699" s="107">
        <v>185</v>
      </c>
    </row>
    <row r="1700" spans="1:5">
      <c r="A1700" s="362"/>
      <c r="B1700" s="365"/>
      <c r="C1700" s="368"/>
      <c r="D1700" s="98">
        <v>18</v>
      </c>
      <c r="E1700" s="108">
        <v>196</v>
      </c>
    </row>
    <row r="1701" spans="1:5" ht="15">
      <c r="A1701" s="362"/>
      <c r="B1701" s="365"/>
      <c r="C1701" s="368"/>
      <c r="D1701" s="97">
        <v>19</v>
      </c>
      <c r="E1701" s="107">
        <v>200</v>
      </c>
    </row>
    <row r="1702" spans="1:5" ht="28">
      <c r="A1702" s="362"/>
      <c r="B1702" s="365"/>
      <c r="C1702" s="368"/>
      <c r="D1702" s="98" t="s">
        <v>11</v>
      </c>
      <c r="E1702" s="108">
        <v>1010</v>
      </c>
    </row>
    <row r="1703" spans="1:5" ht="15">
      <c r="A1703" s="362"/>
      <c r="B1703" s="365"/>
      <c r="C1703" s="368" t="s">
        <v>15</v>
      </c>
      <c r="D1703" s="97">
        <v>20</v>
      </c>
      <c r="E1703" s="107">
        <v>173</v>
      </c>
    </row>
    <row r="1704" spans="1:5">
      <c r="A1704" s="362"/>
      <c r="B1704" s="365"/>
      <c r="C1704" s="368"/>
      <c r="D1704" s="98">
        <v>21</v>
      </c>
      <c r="E1704" s="108">
        <v>152</v>
      </c>
    </row>
    <row r="1705" spans="1:5" ht="15">
      <c r="A1705" s="362"/>
      <c r="B1705" s="365"/>
      <c r="C1705" s="368"/>
      <c r="D1705" s="97">
        <v>22</v>
      </c>
      <c r="E1705" s="107">
        <v>176</v>
      </c>
    </row>
    <row r="1706" spans="1:5">
      <c r="A1706" s="362"/>
      <c r="B1706" s="365"/>
      <c r="C1706" s="368"/>
      <c r="D1706" s="98">
        <v>23</v>
      </c>
      <c r="E1706" s="108">
        <v>181</v>
      </c>
    </row>
    <row r="1707" spans="1:5" ht="15">
      <c r="A1707" s="362"/>
      <c r="B1707" s="365"/>
      <c r="C1707" s="368"/>
      <c r="D1707" s="97">
        <v>24</v>
      </c>
      <c r="E1707" s="107">
        <v>164</v>
      </c>
    </row>
    <row r="1708" spans="1:5" ht="28">
      <c r="A1708" s="362"/>
      <c r="B1708" s="365"/>
      <c r="C1708" s="368"/>
      <c r="D1708" s="98" t="s">
        <v>11</v>
      </c>
      <c r="E1708" s="108">
        <v>846</v>
      </c>
    </row>
    <row r="1709" spans="1:5" ht="15">
      <c r="A1709" s="362"/>
      <c r="B1709" s="365"/>
      <c r="C1709" s="368" t="s">
        <v>16</v>
      </c>
      <c r="D1709" s="97">
        <v>25</v>
      </c>
      <c r="E1709" s="107">
        <v>164</v>
      </c>
    </row>
    <row r="1710" spans="1:5">
      <c r="A1710" s="362"/>
      <c r="B1710" s="365"/>
      <c r="C1710" s="368"/>
      <c r="D1710" s="98">
        <v>26</v>
      </c>
      <c r="E1710" s="108">
        <v>166</v>
      </c>
    </row>
    <row r="1711" spans="1:5" ht="15">
      <c r="A1711" s="362"/>
      <c r="B1711" s="365"/>
      <c r="C1711" s="368"/>
      <c r="D1711" s="97">
        <v>27</v>
      </c>
      <c r="E1711" s="107">
        <v>156</v>
      </c>
    </row>
    <row r="1712" spans="1:5">
      <c r="A1712" s="362"/>
      <c r="B1712" s="365"/>
      <c r="C1712" s="368"/>
      <c r="D1712" s="98">
        <v>28</v>
      </c>
      <c r="E1712" s="108">
        <v>144</v>
      </c>
    </row>
    <row r="1713" spans="1:5" ht="15">
      <c r="A1713" s="362"/>
      <c r="B1713" s="365"/>
      <c r="C1713" s="368"/>
      <c r="D1713" s="97">
        <v>29</v>
      </c>
      <c r="E1713" s="107">
        <v>164</v>
      </c>
    </row>
    <row r="1714" spans="1:5" ht="28">
      <c r="A1714" s="362"/>
      <c r="B1714" s="365"/>
      <c r="C1714" s="368"/>
      <c r="D1714" s="98" t="s">
        <v>11</v>
      </c>
      <c r="E1714" s="108">
        <v>794</v>
      </c>
    </row>
    <row r="1715" spans="1:5" ht="15">
      <c r="A1715" s="362"/>
      <c r="B1715" s="365"/>
      <c r="C1715" s="368" t="s">
        <v>17</v>
      </c>
      <c r="D1715" s="97">
        <v>30</v>
      </c>
      <c r="E1715" s="107">
        <v>138</v>
      </c>
    </row>
    <row r="1716" spans="1:5">
      <c r="A1716" s="362"/>
      <c r="B1716" s="365"/>
      <c r="C1716" s="368"/>
      <c r="D1716" s="98">
        <v>31</v>
      </c>
      <c r="E1716" s="108">
        <v>127</v>
      </c>
    </row>
    <row r="1717" spans="1:5" ht="15">
      <c r="A1717" s="362"/>
      <c r="B1717" s="365"/>
      <c r="C1717" s="368"/>
      <c r="D1717" s="97">
        <v>32</v>
      </c>
      <c r="E1717" s="107">
        <v>148</v>
      </c>
    </row>
    <row r="1718" spans="1:5">
      <c r="A1718" s="362"/>
      <c r="B1718" s="365"/>
      <c r="C1718" s="368"/>
      <c r="D1718" s="98">
        <v>33</v>
      </c>
      <c r="E1718" s="108">
        <v>138</v>
      </c>
    </row>
    <row r="1719" spans="1:5" ht="15">
      <c r="A1719" s="362"/>
      <c r="B1719" s="365"/>
      <c r="C1719" s="368"/>
      <c r="D1719" s="97">
        <v>34</v>
      </c>
      <c r="E1719" s="107">
        <v>136</v>
      </c>
    </row>
    <row r="1720" spans="1:5" ht="28">
      <c r="A1720" s="362"/>
      <c r="B1720" s="365"/>
      <c r="C1720" s="368"/>
      <c r="D1720" s="98" t="s">
        <v>11</v>
      </c>
      <c r="E1720" s="108">
        <v>687</v>
      </c>
    </row>
    <row r="1721" spans="1:5" ht="15">
      <c r="A1721" s="362"/>
      <c r="B1721" s="365"/>
      <c r="C1721" s="368" t="s">
        <v>18</v>
      </c>
      <c r="D1721" s="97">
        <v>35</v>
      </c>
      <c r="E1721" s="107">
        <v>126</v>
      </c>
    </row>
    <row r="1722" spans="1:5">
      <c r="A1722" s="362"/>
      <c r="B1722" s="365"/>
      <c r="C1722" s="368"/>
      <c r="D1722" s="98">
        <v>36</v>
      </c>
      <c r="E1722" s="108">
        <v>151</v>
      </c>
    </row>
    <row r="1723" spans="1:5" ht="15">
      <c r="A1723" s="362"/>
      <c r="B1723" s="365"/>
      <c r="C1723" s="368"/>
      <c r="D1723" s="97">
        <v>37</v>
      </c>
      <c r="E1723" s="107">
        <v>124</v>
      </c>
    </row>
    <row r="1724" spans="1:5">
      <c r="A1724" s="362"/>
      <c r="B1724" s="365"/>
      <c r="C1724" s="368"/>
      <c r="D1724" s="98">
        <v>38</v>
      </c>
      <c r="E1724" s="108">
        <v>146</v>
      </c>
    </row>
    <row r="1725" spans="1:5" ht="15">
      <c r="A1725" s="362"/>
      <c r="B1725" s="365"/>
      <c r="C1725" s="368"/>
      <c r="D1725" s="97">
        <v>39</v>
      </c>
      <c r="E1725" s="107">
        <v>104</v>
      </c>
    </row>
    <row r="1726" spans="1:5" ht="28">
      <c r="A1726" s="362"/>
      <c r="B1726" s="365"/>
      <c r="C1726" s="368"/>
      <c r="D1726" s="98" t="s">
        <v>11</v>
      </c>
      <c r="E1726" s="108">
        <v>651</v>
      </c>
    </row>
    <row r="1727" spans="1:5" ht="15">
      <c r="A1727" s="362"/>
      <c r="B1727" s="365"/>
      <c r="C1727" s="368" t="s">
        <v>19</v>
      </c>
      <c r="D1727" s="97">
        <v>40</v>
      </c>
      <c r="E1727" s="107">
        <v>120</v>
      </c>
    </row>
    <row r="1728" spans="1:5">
      <c r="A1728" s="362"/>
      <c r="B1728" s="365"/>
      <c r="C1728" s="368"/>
      <c r="D1728" s="98">
        <v>41</v>
      </c>
      <c r="E1728" s="108">
        <v>125</v>
      </c>
    </row>
    <row r="1729" spans="1:5" ht="15">
      <c r="A1729" s="362"/>
      <c r="B1729" s="365"/>
      <c r="C1729" s="368"/>
      <c r="D1729" s="97">
        <v>42</v>
      </c>
      <c r="E1729" s="107">
        <v>117</v>
      </c>
    </row>
    <row r="1730" spans="1:5">
      <c r="A1730" s="362"/>
      <c r="B1730" s="365"/>
      <c r="C1730" s="368"/>
      <c r="D1730" s="98">
        <v>43</v>
      </c>
      <c r="E1730" s="108">
        <v>112</v>
      </c>
    </row>
    <row r="1731" spans="1:5" ht="15">
      <c r="A1731" s="362"/>
      <c r="B1731" s="365"/>
      <c r="C1731" s="368"/>
      <c r="D1731" s="97">
        <v>44</v>
      </c>
      <c r="E1731" s="107">
        <v>97</v>
      </c>
    </row>
    <row r="1732" spans="1:5" ht="28">
      <c r="A1732" s="362"/>
      <c r="B1732" s="365"/>
      <c r="C1732" s="368"/>
      <c r="D1732" s="98" t="s">
        <v>11</v>
      </c>
      <c r="E1732" s="108">
        <v>571</v>
      </c>
    </row>
    <row r="1733" spans="1:5" ht="15">
      <c r="A1733" s="362"/>
      <c r="B1733" s="365"/>
      <c r="C1733" s="368" t="s">
        <v>20</v>
      </c>
      <c r="D1733" s="97">
        <v>45</v>
      </c>
      <c r="E1733" s="107">
        <v>125</v>
      </c>
    </row>
    <row r="1734" spans="1:5">
      <c r="A1734" s="362"/>
      <c r="B1734" s="365"/>
      <c r="C1734" s="368"/>
      <c r="D1734" s="98">
        <v>46</v>
      </c>
      <c r="E1734" s="108">
        <v>121</v>
      </c>
    </row>
    <row r="1735" spans="1:5" ht="15">
      <c r="A1735" s="362"/>
      <c r="B1735" s="365"/>
      <c r="C1735" s="368"/>
      <c r="D1735" s="97">
        <v>47</v>
      </c>
      <c r="E1735" s="107">
        <v>116</v>
      </c>
    </row>
    <row r="1736" spans="1:5">
      <c r="A1736" s="362"/>
      <c r="B1736" s="365"/>
      <c r="C1736" s="368"/>
      <c r="D1736" s="98">
        <v>48</v>
      </c>
      <c r="E1736" s="108">
        <v>119</v>
      </c>
    </row>
    <row r="1737" spans="1:5" ht="15">
      <c r="A1737" s="362"/>
      <c r="B1737" s="365"/>
      <c r="C1737" s="368"/>
      <c r="D1737" s="97">
        <v>49</v>
      </c>
      <c r="E1737" s="107">
        <v>117</v>
      </c>
    </row>
    <row r="1738" spans="1:5" ht="28">
      <c r="A1738" s="362"/>
      <c r="B1738" s="365"/>
      <c r="C1738" s="368"/>
      <c r="D1738" s="98" t="s">
        <v>11</v>
      </c>
      <c r="E1738" s="108">
        <v>598</v>
      </c>
    </row>
    <row r="1739" spans="1:5" ht="15">
      <c r="A1739" s="362"/>
      <c r="B1739" s="365"/>
      <c r="C1739" s="368" t="s">
        <v>21</v>
      </c>
      <c r="D1739" s="97">
        <v>50</v>
      </c>
      <c r="E1739" s="107">
        <v>92</v>
      </c>
    </row>
    <row r="1740" spans="1:5">
      <c r="A1740" s="362"/>
      <c r="B1740" s="365"/>
      <c r="C1740" s="368"/>
      <c r="D1740" s="98">
        <v>51</v>
      </c>
      <c r="E1740" s="108">
        <v>108</v>
      </c>
    </row>
    <row r="1741" spans="1:5" ht="15">
      <c r="A1741" s="362"/>
      <c r="B1741" s="365"/>
      <c r="C1741" s="368"/>
      <c r="D1741" s="97">
        <v>52</v>
      </c>
      <c r="E1741" s="107">
        <v>115</v>
      </c>
    </row>
    <row r="1742" spans="1:5">
      <c r="A1742" s="362"/>
      <c r="B1742" s="365"/>
      <c r="C1742" s="368"/>
      <c r="D1742" s="98">
        <v>53</v>
      </c>
      <c r="E1742" s="108">
        <v>109</v>
      </c>
    </row>
    <row r="1743" spans="1:5" ht="15">
      <c r="A1743" s="362"/>
      <c r="B1743" s="365"/>
      <c r="C1743" s="368"/>
      <c r="D1743" s="97">
        <v>54</v>
      </c>
      <c r="E1743" s="107">
        <v>128</v>
      </c>
    </row>
    <row r="1744" spans="1:5" ht="28">
      <c r="A1744" s="362"/>
      <c r="B1744" s="365"/>
      <c r="C1744" s="368"/>
      <c r="D1744" s="98" t="s">
        <v>11</v>
      </c>
      <c r="E1744" s="108">
        <v>552</v>
      </c>
    </row>
    <row r="1745" spans="1:5" ht="15">
      <c r="A1745" s="362"/>
      <c r="B1745" s="365"/>
      <c r="C1745" s="368" t="s">
        <v>22</v>
      </c>
      <c r="D1745" s="97">
        <v>55</v>
      </c>
      <c r="E1745" s="107">
        <v>121</v>
      </c>
    </row>
    <row r="1746" spans="1:5">
      <c r="A1746" s="362"/>
      <c r="B1746" s="365"/>
      <c r="C1746" s="368"/>
      <c r="D1746" s="98">
        <v>56</v>
      </c>
      <c r="E1746" s="108">
        <v>108</v>
      </c>
    </row>
    <row r="1747" spans="1:5" ht="15">
      <c r="A1747" s="362"/>
      <c r="B1747" s="365"/>
      <c r="C1747" s="368"/>
      <c r="D1747" s="97">
        <v>57</v>
      </c>
      <c r="E1747" s="107">
        <v>96</v>
      </c>
    </row>
    <row r="1748" spans="1:5">
      <c r="A1748" s="362"/>
      <c r="B1748" s="365"/>
      <c r="C1748" s="368"/>
      <c r="D1748" s="98">
        <v>58</v>
      </c>
      <c r="E1748" s="108">
        <v>101</v>
      </c>
    </row>
    <row r="1749" spans="1:5" ht="15">
      <c r="A1749" s="362"/>
      <c r="B1749" s="365"/>
      <c r="C1749" s="368"/>
      <c r="D1749" s="97">
        <v>59</v>
      </c>
      <c r="E1749" s="107">
        <v>106</v>
      </c>
    </row>
    <row r="1750" spans="1:5" ht="28">
      <c r="A1750" s="362"/>
      <c r="B1750" s="365"/>
      <c r="C1750" s="368"/>
      <c r="D1750" s="98" t="s">
        <v>11</v>
      </c>
      <c r="E1750" s="108">
        <v>532</v>
      </c>
    </row>
    <row r="1751" spans="1:5" ht="15">
      <c r="A1751" s="362"/>
      <c r="B1751" s="365"/>
      <c r="C1751" s="368" t="s">
        <v>23</v>
      </c>
      <c r="D1751" s="97">
        <v>60</v>
      </c>
      <c r="E1751" s="107">
        <v>82</v>
      </c>
    </row>
    <row r="1752" spans="1:5">
      <c r="A1752" s="362"/>
      <c r="B1752" s="365"/>
      <c r="C1752" s="368"/>
      <c r="D1752" s="98">
        <v>61</v>
      </c>
      <c r="E1752" s="108">
        <v>87</v>
      </c>
    </row>
    <row r="1753" spans="1:5" ht="15">
      <c r="A1753" s="362"/>
      <c r="B1753" s="365"/>
      <c r="C1753" s="368"/>
      <c r="D1753" s="97">
        <v>62</v>
      </c>
      <c r="E1753" s="107">
        <v>90</v>
      </c>
    </row>
    <row r="1754" spans="1:5">
      <c r="A1754" s="362"/>
      <c r="B1754" s="365"/>
      <c r="C1754" s="368"/>
      <c r="D1754" s="98">
        <v>63</v>
      </c>
      <c r="E1754" s="108">
        <v>72</v>
      </c>
    </row>
    <row r="1755" spans="1:5" ht="15">
      <c r="A1755" s="362"/>
      <c r="B1755" s="365"/>
      <c r="C1755" s="368"/>
      <c r="D1755" s="97">
        <v>64</v>
      </c>
      <c r="E1755" s="107">
        <v>67</v>
      </c>
    </row>
    <row r="1756" spans="1:5" ht="28">
      <c r="A1756" s="362"/>
      <c r="B1756" s="365"/>
      <c r="C1756" s="368"/>
      <c r="D1756" s="98" t="s">
        <v>11</v>
      </c>
      <c r="E1756" s="108">
        <v>398</v>
      </c>
    </row>
    <row r="1757" spans="1:5" ht="15">
      <c r="A1757" s="362"/>
      <c r="B1757" s="365"/>
      <c r="C1757" s="368" t="s">
        <v>24</v>
      </c>
      <c r="D1757" s="97">
        <v>65</v>
      </c>
      <c r="E1757" s="107">
        <v>69</v>
      </c>
    </row>
    <row r="1758" spans="1:5">
      <c r="A1758" s="362"/>
      <c r="B1758" s="365"/>
      <c r="C1758" s="368"/>
      <c r="D1758" s="98">
        <v>66</v>
      </c>
      <c r="E1758" s="108">
        <v>70</v>
      </c>
    </row>
    <row r="1759" spans="1:5" ht="15">
      <c r="A1759" s="362"/>
      <c r="B1759" s="365"/>
      <c r="C1759" s="368"/>
      <c r="D1759" s="97">
        <v>67</v>
      </c>
      <c r="E1759" s="107">
        <v>59</v>
      </c>
    </row>
    <row r="1760" spans="1:5">
      <c r="A1760" s="362"/>
      <c r="B1760" s="365"/>
      <c r="C1760" s="368"/>
      <c r="D1760" s="98">
        <v>68</v>
      </c>
      <c r="E1760" s="108">
        <v>67</v>
      </c>
    </row>
    <row r="1761" spans="1:5" ht="15">
      <c r="A1761" s="362"/>
      <c r="B1761" s="365"/>
      <c r="C1761" s="368"/>
      <c r="D1761" s="97">
        <v>69</v>
      </c>
      <c r="E1761" s="107">
        <v>61</v>
      </c>
    </row>
    <row r="1762" spans="1:5" ht="28">
      <c r="A1762" s="362"/>
      <c r="B1762" s="365"/>
      <c r="C1762" s="368"/>
      <c r="D1762" s="98" t="s">
        <v>11</v>
      </c>
      <c r="E1762" s="108">
        <v>326</v>
      </c>
    </row>
    <row r="1763" spans="1:5" ht="15">
      <c r="A1763" s="362"/>
      <c r="B1763" s="365"/>
      <c r="C1763" s="368" t="s">
        <v>25</v>
      </c>
      <c r="D1763" s="97">
        <v>70</v>
      </c>
      <c r="E1763" s="107">
        <v>48</v>
      </c>
    </row>
    <row r="1764" spans="1:5">
      <c r="A1764" s="362"/>
      <c r="B1764" s="365"/>
      <c r="C1764" s="368"/>
      <c r="D1764" s="98">
        <v>71</v>
      </c>
      <c r="E1764" s="108">
        <v>41</v>
      </c>
    </row>
    <row r="1765" spans="1:5" ht="15">
      <c r="A1765" s="362"/>
      <c r="B1765" s="365"/>
      <c r="C1765" s="368"/>
      <c r="D1765" s="97">
        <v>72</v>
      </c>
      <c r="E1765" s="107">
        <v>36</v>
      </c>
    </row>
    <row r="1766" spans="1:5">
      <c r="A1766" s="362"/>
      <c r="B1766" s="365"/>
      <c r="C1766" s="368"/>
      <c r="D1766" s="98">
        <v>73</v>
      </c>
      <c r="E1766" s="108">
        <v>39</v>
      </c>
    </row>
    <row r="1767" spans="1:5" ht="15">
      <c r="A1767" s="362"/>
      <c r="B1767" s="365"/>
      <c r="C1767" s="368"/>
      <c r="D1767" s="97">
        <v>74</v>
      </c>
      <c r="E1767" s="107">
        <v>33</v>
      </c>
    </row>
    <row r="1768" spans="1:5" ht="28">
      <c r="A1768" s="362"/>
      <c r="B1768" s="365"/>
      <c r="C1768" s="368"/>
      <c r="D1768" s="98" t="s">
        <v>11</v>
      </c>
      <c r="E1768" s="108">
        <v>197</v>
      </c>
    </row>
    <row r="1769" spans="1:5" ht="15">
      <c r="A1769" s="362"/>
      <c r="B1769" s="365"/>
      <c r="C1769" s="368" t="s">
        <v>26</v>
      </c>
      <c r="D1769" s="97">
        <v>75</v>
      </c>
      <c r="E1769" s="107">
        <v>32</v>
      </c>
    </row>
    <row r="1770" spans="1:5">
      <c r="A1770" s="362"/>
      <c r="B1770" s="365"/>
      <c r="C1770" s="368"/>
      <c r="D1770" s="98">
        <v>76</v>
      </c>
      <c r="E1770" s="108">
        <v>22</v>
      </c>
    </row>
    <row r="1771" spans="1:5" ht="15">
      <c r="A1771" s="362"/>
      <c r="B1771" s="365"/>
      <c r="C1771" s="368"/>
      <c r="D1771" s="97">
        <v>77</v>
      </c>
      <c r="E1771" s="107">
        <v>39</v>
      </c>
    </row>
    <row r="1772" spans="1:5">
      <c r="A1772" s="362"/>
      <c r="B1772" s="365"/>
      <c r="C1772" s="368"/>
      <c r="D1772" s="98">
        <v>78</v>
      </c>
      <c r="E1772" s="108">
        <v>29</v>
      </c>
    </row>
    <row r="1773" spans="1:5" ht="15">
      <c r="A1773" s="362"/>
      <c r="B1773" s="365"/>
      <c r="C1773" s="368"/>
      <c r="D1773" s="97">
        <v>79</v>
      </c>
      <c r="E1773" s="107">
        <v>30</v>
      </c>
    </row>
    <row r="1774" spans="1:5" ht="28">
      <c r="A1774" s="362"/>
      <c r="B1774" s="365"/>
      <c r="C1774" s="368"/>
      <c r="D1774" s="98" t="s">
        <v>11</v>
      </c>
      <c r="E1774" s="108">
        <v>152</v>
      </c>
    </row>
    <row r="1775" spans="1:5" ht="15">
      <c r="A1775" s="362"/>
      <c r="B1775" s="365"/>
      <c r="C1775" s="368" t="s">
        <v>27</v>
      </c>
      <c r="D1775" s="97">
        <v>80</v>
      </c>
      <c r="E1775" s="107">
        <v>24</v>
      </c>
    </row>
    <row r="1776" spans="1:5">
      <c r="A1776" s="362"/>
      <c r="B1776" s="365"/>
      <c r="C1776" s="368"/>
      <c r="D1776" s="98">
        <v>81</v>
      </c>
      <c r="E1776" s="108">
        <v>17</v>
      </c>
    </row>
    <row r="1777" spans="1:5" ht="15">
      <c r="A1777" s="362"/>
      <c r="B1777" s="365"/>
      <c r="C1777" s="368"/>
      <c r="D1777" s="97">
        <v>82</v>
      </c>
      <c r="E1777" s="107">
        <v>17</v>
      </c>
    </row>
    <row r="1778" spans="1:5">
      <c r="A1778" s="362"/>
      <c r="B1778" s="365"/>
      <c r="C1778" s="368"/>
      <c r="D1778" s="98">
        <v>83</v>
      </c>
      <c r="E1778" s="108">
        <v>27</v>
      </c>
    </row>
    <row r="1779" spans="1:5" ht="15">
      <c r="A1779" s="362"/>
      <c r="B1779" s="365"/>
      <c r="C1779" s="368"/>
      <c r="D1779" s="97">
        <v>84</v>
      </c>
      <c r="E1779" s="107">
        <v>18</v>
      </c>
    </row>
    <row r="1780" spans="1:5" ht="28">
      <c r="A1780" s="362"/>
      <c r="B1780" s="365"/>
      <c r="C1780" s="368"/>
      <c r="D1780" s="98" t="s">
        <v>11</v>
      </c>
      <c r="E1780" s="108">
        <v>103</v>
      </c>
    </row>
    <row r="1781" spans="1:5" ht="15">
      <c r="A1781" s="362"/>
      <c r="B1781" s="365"/>
      <c r="C1781" s="368" t="s">
        <v>28</v>
      </c>
      <c r="D1781" s="97">
        <v>85</v>
      </c>
      <c r="E1781" s="107">
        <v>22</v>
      </c>
    </row>
    <row r="1782" spans="1:5">
      <c r="A1782" s="362"/>
      <c r="B1782" s="365"/>
      <c r="C1782" s="368"/>
      <c r="D1782" s="98">
        <v>86</v>
      </c>
      <c r="E1782" s="108">
        <v>12</v>
      </c>
    </row>
    <row r="1783" spans="1:5" ht="15">
      <c r="A1783" s="362"/>
      <c r="B1783" s="365"/>
      <c r="C1783" s="368"/>
      <c r="D1783" s="97">
        <v>87</v>
      </c>
      <c r="E1783" s="107">
        <v>12</v>
      </c>
    </row>
    <row r="1784" spans="1:5">
      <c r="A1784" s="362"/>
      <c r="B1784" s="365"/>
      <c r="C1784" s="368"/>
      <c r="D1784" s="98">
        <v>88</v>
      </c>
      <c r="E1784" s="108">
        <v>12</v>
      </c>
    </row>
    <row r="1785" spans="1:5" ht="15">
      <c r="A1785" s="362"/>
      <c r="B1785" s="365"/>
      <c r="C1785" s="368"/>
      <c r="D1785" s="97">
        <v>89</v>
      </c>
      <c r="E1785" s="107">
        <v>13</v>
      </c>
    </row>
    <row r="1786" spans="1:5" ht="28">
      <c r="A1786" s="362"/>
      <c r="B1786" s="365"/>
      <c r="C1786" s="368"/>
      <c r="D1786" s="98" t="s">
        <v>11</v>
      </c>
      <c r="E1786" s="108">
        <v>71</v>
      </c>
    </row>
    <row r="1787" spans="1:5" ht="15">
      <c r="A1787" s="362"/>
      <c r="B1787" s="365"/>
      <c r="C1787" s="368" t="s">
        <v>29</v>
      </c>
      <c r="D1787" s="97">
        <v>90</v>
      </c>
      <c r="E1787" s="107">
        <v>13</v>
      </c>
    </row>
    <row r="1788" spans="1:5">
      <c r="A1788" s="362"/>
      <c r="B1788" s="365"/>
      <c r="C1788" s="368"/>
      <c r="D1788" s="98">
        <v>91</v>
      </c>
      <c r="E1788" s="108">
        <v>6</v>
      </c>
    </row>
    <row r="1789" spans="1:5" ht="15">
      <c r="A1789" s="362"/>
      <c r="B1789" s="365"/>
      <c r="C1789" s="368"/>
      <c r="D1789" s="97">
        <v>92</v>
      </c>
      <c r="E1789" s="107">
        <v>9</v>
      </c>
    </row>
    <row r="1790" spans="1:5">
      <c r="A1790" s="362"/>
      <c r="B1790" s="365"/>
      <c r="C1790" s="368"/>
      <c r="D1790" s="98">
        <v>93</v>
      </c>
      <c r="E1790" s="108">
        <v>8</v>
      </c>
    </row>
    <row r="1791" spans="1:5" ht="15">
      <c r="A1791" s="362"/>
      <c r="B1791" s="365"/>
      <c r="C1791" s="368"/>
      <c r="D1791" s="97">
        <v>94</v>
      </c>
      <c r="E1791" s="107">
        <v>5</v>
      </c>
    </row>
    <row r="1792" spans="1:5" ht="28">
      <c r="A1792" s="362"/>
      <c r="B1792" s="365"/>
      <c r="C1792" s="368"/>
      <c r="D1792" s="98" t="s">
        <v>11</v>
      </c>
      <c r="E1792" s="108">
        <v>41</v>
      </c>
    </row>
    <row r="1793" spans="1:5" ht="15">
      <c r="A1793" s="362"/>
      <c r="B1793" s="365"/>
      <c r="C1793" s="368" t="s">
        <v>30</v>
      </c>
      <c r="D1793" s="97">
        <v>95</v>
      </c>
      <c r="E1793" s="107">
        <v>7</v>
      </c>
    </row>
    <row r="1794" spans="1:5">
      <c r="A1794" s="362"/>
      <c r="B1794" s="365"/>
      <c r="C1794" s="368"/>
      <c r="D1794" s="98">
        <v>96</v>
      </c>
      <c r="E1794" s="108">
        <v>3</v>
      </c>
    </row>
    <row r="1795" spans="1:5" ht="15">
      <c r="A1795" s="362"/>
      <c r="B1795" s="365"/>
      <c r="C1795" s="368"/>
      <c r="D1795" s="97">
        <v>97</v>
      </c>
      <c r="E1795" s="107">
        <v>2</v>
      </c>
    </row>
    <row r="1796" spans="1:5">
      <c r="A1796" s="362"/>
      <c r="B1796" s="365"/>
      <c r="C1796" s="368"/>
      <c r="D1796" s="98">
        <v>99</v>
      </c>
      <c r="E1796" s="108">
        <v>2</v>
      </c>
    </row>
    <row r="1797" spans="1:5" ht="28">
      <c r="A1797" s="362"/>
      <c r="B1797" s="365"/>
      <c r="C1797" s="368"/>
      <c r="D1797" s="97" t="s">
        <v>11</v>
      </c>
      <c r="E1797" s="107">
        <v>14</v>
      </c>
    </row>
    <row r="1798" spans="1:5">
      <c r="A1798" s="362"/>
      <c r="B1798" s="365"/>
      <c r="C1798" s="368" t="s">
        <v>31</v>
      </c>
      <c r="D1798" s="98">
        <v>101</v>
      </c>
      <c r="E1798" s="108">
        <v>1</v>
      </c>
    </row>
    <row r="1799" spans="1:5" ht="15">
      <c r="A1799" s="362"/>
      <c r="B1799" s="365"/>
      <c r="C1799" s="368"/>
      <c r="D1799" s="97">
        <v>103</v>
      </c>
      <c r="E1799" s="107">
        <v>1</v>
      </c>
    </row>
    <row r="1800" spans="1:5" ht="28">
      <c r="A1800" s="362"/>
      <c r="B1800" s="365"/>
      <c r="C1800" s="368"/>
      <c r="D1800" s="98" t="s">
        <v>11</v>
      </c>
      <c r="E1800" s="108">
        <v>2</v>
      </c>
    </row>
    <row r="1801" spans="1:5" ht="15">
      <c r="A1801" s="362"/>
      <c r="B1801" s="365"/>
      <c r="C1801" s="368" t="s">
        <v>32</v>
      </c>
      <c r="D1801" s="97">
        <v>109</v>
      </c>
      <c r="E1801" s="107">
        <v>1</v>
      </c>
    </row>
    <row r="1802" spans="1:5" ht="28">
      <c r="A1802" s="362"/>
      <c r="B1802" s="365"/>
      <c r="C1802" s="368"/>
      <c r="D1802" s="98" t="s">
        <v>11</v>
      </c>
      <c r="E1802" s="108">
        <v>1</v>
      </c>
    </row>
    <row r="1803" spans="1:5" ht="15">
      <c r="A1803" s="362"/>
      <c r="B1803" s="365" t="s">
        <v>115</v>
      </c>
      <c r="C1803" s="368" t="s">
        <v>10</v>
      </c>
      <c r="D1803" s="97">
        <v>0</v>
      </c>
      <c r="E1803" s="107">
        <v>412</v>
      </c>
    </row>
    <row r="1804" spans="1:5">
      <c r="A1804" s="362"/>
      <c r="B1804" s="365"/>
      <c r="C1804" s="368"/>
      <c r="D1804" s="98">
        <v>1</v>
      </c>
      <c r="E1804" s="108">
        <v>475</v>
      </c>
    </row>
    <row r="1805" spans="1:5" ht="15">
      <c r="A1805" s="362"/>
      <c r="B1805" s="365"/>
      <c r="C1805" s="368"/>
      <c r="D1805" s="97">
        <v>2</v>
      </c>
      <c r="E1805" s="107">
        <v>448</v>
      </c>
    </row>
    <row r="1806" spans="1:5">
      <c r="A1806" s="362"/>
      <c r="B1806" s="365"/>
      <c r="C1806" s="368"/>
      <c r="D1806" s="98">
        <v>3</v>
      </c>
      <c r="E1806" s="108">
        <v>458</v>
      </c>
    </row>
    <row r="1807" spans="1:5" ht="15">
      <c r="A1807" s="362"/>
      <c r="B1807" s="365"/>
      <c r="C1807" s="368"/>
      <c r="D1807" s="97">
        <v>4</v>
      </c>
      <c r="E1807" s="107">
        <v>442</v>
      </c>
    </row>
    <row r="1808" spans="1:5" ht="28">
      <c r="A1808" s="362"/>
      <c r="B1808" s="365"/>
      <c r="C1808" s="368"/>
      <c r="D1808" s="98" t="s">
        <v>11</v>
      </c>
      <c r="E1808" s="108">
        <v>2235</v>
      </c>
    </row>
    <row r="1809" spans="1:5" ht="15">
      <c r="A1809" s="362"/>
      <c r="B1809" s="365"/>
      <c r="C1809" s="368" t="s">
        <v>12</v>
      </c>
      <c r="D1809" s="97">
        <v>5</v>
      </c>
      <c r="E1809" s="107">
        <v>438</v>
      </c>
    </row>
    <row r="1810" spans="1:5">
      <c r="A1810" s="362"/>
      <c r="B1810" s="365"/>
      <c r="C1810" s="368"/>
      <c r="D1810" s="98">
        <v>6</v>
      </c>
      <c r="E1810" s="108">
        <v>472</v>
      </c>
    </row>
    <row r="1811" spans="1:5" ht="15">
      <c r="A1811" s="362"/>
      <c r="B1811" s="365"/>
      <c r="C1811" s="368"/>
      <c r="D1811" s="97">
        <v>7</v>
      </c>
      <c r="E1811" s="107">
        <v>457</v>
      </c>
    </row>
    <row r="1812" spans="1:5">
      <c r="A1812" s="362"/>
      <c r="B1812" s="365"/>
      <c r="C1812" s="368"/>
      <c r="D1812" s="98">
        <v>8</v>
      </c>
      <c r="E1812" s="108">
        <v>463</v>
      </c>
    </row>
    <row r="1813" spans="1:5" ht="15">
      <c r="A1813" s="362"/>
      <c r="B1813" s="365"/>
      <c r="C1813" s="368"/>
      <c r="D1813" s="97">
        <v>9</v>
      </c>
      <c r="E1813" s="107">
        <v>527</v>
      </c>
    </row>
    <row r="1814" spans="1:5" ht="28">
      <c r="A1814" s="362"/>
      <c r="B1814" s="365"/>
      <c r="C1814" s="368"/>
      <c r="D1814" s="98" t="s">
        <v>11</v>
      </c>
      <c r="E1814" s="108">
        <v>2357</v>
      </c>
    </row>
    <row r="1815" spans="1:5" ht="15">
      <c r="A1815" s="362"/>
      <c r="B1815" s="365"/>
      <c r="C1815" s="368" t="s">
        <v>13</v>
      </c>
      <c r="D1815" s="97">
        <v>10</v>
      </c>
      <c r="E1815" s="107">
        <v>541</v>
      </c>
    </row>
    <row r="1816" spans="1:5">
      <c r="A1816" s="362"/>
      <c r="B1816" s="365"/>
      <c r="C1816" s="368"/>
      <c r="D1816" s="98">
        <v>11</v>
      </c>
      <c r="E1816" s="108">
        <v>494</v>
      </c>
    </row>
    <row r="1817" spans="1:5" ht="15">
      <c r="A1817" s="362"/>
      <c r="B1817" s="365"/>
      <c r="C1817" s="368"/>
      <c r="D1817" s="97">
        <v>12</v>
      </c>
      <c r="E1817" s="107">
        <v>471</v>
      </c>
    </row>
    <row r="1818" spans="1:5">
      <c r="A1818" s="362"/>
      <c r="B1818" s="365"/>
      <c r="C1818" s="368"/>
      <c r="D1818" s="98">
        <v>13</v>
      </c>
      <c r="E1818" s="108">
        <v>548</v>
      </c>
    </row>
    <row r="1819" spans="1:5" ht="15">
      <c r="A1819" s="362"/>
      <c r="B1819" s="365"/>
      <c r="C1819" s="368"/>
      <c r="D1819" s="97">
        <v>14</v>
      </c>
      <c r="E1819" s="107">
        <v>466</v>
      </c>
    </row>
    <row r="1820" spans="1:5" ht="28">
      <c r="A1820" s="362"/>
      <c r="B1820" s="365"/>
      <c r="C1820" s="368"/>
      <c r="D1820" s="98" t="s">
        <v>11</v>
      </c>
      <c r="E1820" s="108">
        <v>2520</v>
      </c>
    </row>
    <row r="1821" spans="1:5" ht="15">
      <c r="A1821" s="362"/>
      <c r="B1821" s="365"/>
      <c r="C1821" s="368" t="s">
        <v>14</v>
      </c>
      <c r="D1821" s="97">
        <v>15</v>
      </c>
      <c r="E1821" s="107">
        <v>478</v>
      </c>
    </row>
    <row r="1822" spans="1:5">
      <c r="A1822" s="362"/>
      <c r="B1822" s="365"/>
      <c r="C1822" s="368"/>
      <c r="D1822" s="98">
        <v>16</v>
      </c>
      <c r="E1822" s="108">
        <v>484</v>
      </c>
    </row>
    <row r="1823" spans="1:5" ht="15">
      <c r="A1823" s="362"/>
      <c r="B1823" s="365"/>
      <c r="C1823" s="368"/>
      <c r="D1823" s="97">
        <v>17</v>
      </c>
      <c r="E1823" s="107">
        <v>467</v>
      </c>
    </row>
    <row r="1824" spans="1:5">
      <c r="A1824" s="362"/>
      <c r="B1824" s="365"/>
      <c r="C1824" s="368"/>
      <c r="D1824" s="98">
        <v>18</v>
      </c>
      <c r="E1824" s="108">
        <v>430</v>
      </c>
    </row>
    <row r="1825" spans="1:5" ht="15">
      <c r="A1825" s="362"/>
      <c r="B1825" s="365"/>
      <c r="C1825" s="368"/>
      <c r="D1825" s="97">
        <v>19</v>
      </c>
      <c r="E1825" s="107">
        <v>422</v>
      </c>
    </row>
    <row r="1826" spans="1:5" ht="28">
      <c r="A1826" s="362"/>
      <c r="B1826" s="365"/>
      <c r="C1826" s="368"/>
      <c r="D1826" s="98" t="s">
        <v>11</v>
      </c>
      <c r="E1826" s="108">
        <v>2281</v>
      </c>
    </row>
    <row r="1827" spans="1:5" ht="15">
      <c r="A1827" s="362"/>
      <c r="B1827" s="365"/>
      <c r="C1827" s="368" t="s">
        <v>15</v>
      </c>
      <c r="D1827" s="97">
        <v>20</v>
      </c>
      <c r="E1827" s="107">
        <v>435</v>
      </c>
    </row>
    <row r="1828" spans="1:5">
      <c r="A1828" s="362"/>
      <c r="B1828" s="365"/>
      <c r="C1828" s="368"/>
      <c r="D1828" s="98">
        <v>21</v>
      </c>
      <c r="E1828" s="108">
        <v>422</v>
      </c>
    </row>
    <row r="1829" spans="1:5" ht="15">
      <c r="A1829" s="362"/>
      <c r="B1829" s="365"/>
      <c r="C1829" s="368"/>
      <c r="D1829" s="97">
        <v>22</v>
      </c>
      <c r="E1829" s="107">
        <v>428</v>
      </c>
    </row>
    <row r="1830" spans="1:5">
      <c r="A1830" s="362"/>
      <c r="B1830" s="365"/>
      <c r="C1830" s="368"/>
      <c r="D1830" s="98">
        <v>23</v>
      </c>
      <c r="E1830" s="108">
        <v>433</v>
      </c>
    </row>
    <row r="1831" spans="1:5" ht="15">
      <c r="A1831" s="362"/>
      <c r="B1831" s="365"/>
      <c r="C1831" s="368"/>
      <c r="D1831" s="97">
        <v>24</v>
      </c>
      <c r="E1831" s="107">
        <v>385</v>
      </c>
    </row>
    <row r="1832" spans="1:5" ht="28">
      <c r="A1832" s="362"/>
      <c r="B1832" s="365"/>
      <c r="C1832" s="368"/>
      <c r="D1832" s="98" t="s">
        <v>11</v>
      </c>
      <c r="E1832" s="108">
        <v>2103</v>
      </c>
    </row>
    <row r="1833" spans="1:5" ht="15">
      <c r="A1833" s="362"/>
      <c r="B1833" s="365"/>
      <c r="C1833" s="368" t="s">
        <v>16</v>
      </c>
      <c r="D1833" s="97">
        <v>25</v>
      </c>
      <c r="E1833" s="107">
        <v>405</v>
      </c>
    </row>
    <row r="1834" spans="1:5">
      <c r="A1834" s="362"/>
      <c r="B1834" s="365"/>
      <c r="C1834" s="368"/>
      <c r="D1834" s="98">
        <v>26</v>
      </c>
      <c r="E1834" s="108">
        <v>396</v>
      </c>
    </row>
    <row r="1835" spans="1:5" ht="15">
      <c r="A1835" s="362"/>
      <c r="B1835" s="365"/>
      <c r="C1835" s="368"/>
      <c r="D1835" s="97">
        <v>27</v>
      </c>
      <c r="E1835" s="107">
        <v>389</v>
      </c>
    </row>
    <row r="1836" spans="1:5">
      <c r="A1836" s="362"/>
      <c r="B1836" s="365"/>
      <c r="C1836" s="368"/>
      <c r="D1836" s="98">
        <v>28</v>
      </c>
      <c r="E1836" s="108">
        <v>378</v>
      </c>
    </row>
    <row r="1837" spans="1:5" ht="15">
      <c r="A1837" s="362"/>
      <c r="B1837" s="365"/>
      <c r="C1837" s="368"/>
      <c r="D1837" s="97">
        <v>29</v>
      </c>
      <c r="E1837" s="107">
        <v>388</v>
      </c>
    </row>
    <row r="1838" spans="1:5" ht="28">
      <c r="A1838" s="362"/>
      <c r="B1838" s="365"/>
      <c r="C1838" s="368"/>
      <c r="D1838" s="98" t="s">
        <v>11</v>
      </c>
      <c r="E1838" s="108">
        <v>1956</v>
      </c>
    </row>
    <row r="1839" spans="1:5" ht="15">
      <c r="A1839" s="362"/>
      <c r="B1839" s="365"/>
      <c r="C1839" s="368" t="s">
        <v>17</v>
      </c>
      <c r="D1839" s="97">
        <v>30</v>
      </c>
      <c r="E1839" s="107">
        <v>346</v>
      </c>
    </row>
    <row r="1840" spans="1:5">
      <c r="A1840" s="362"/>
      <c r="B1840" s="365"/>
      <c r="C1840" s="368"/>
      <c r="D1840" s="98">
        <v>31</v>
      </c>
      <c r="E1840" s="108">
        <v>340</v>
      </c>
    </row>
    <row r="1841" spans="1:5" ht="15">
      <c r="A1841" s="362"/>
      <c r="B1841" s="365"/>
      <c r="C1841" s="368"/>
      <c r="D1841" s="97">
        <v>32</v>
      </c>
      <c r="E1841" s="107">
        <v>383</v>
      </c>
    </row>
    <row r="1842" spans="1:5">
      <c r="A1842" s="362"/>
      <c r="B1842" s="365"/>
      <c r="C1842" s="368"/>
      <c r="D1842" s="98">
        <v>33</v>
      </c>
      <c r="E1842" s="108">
        <v>340</v>
      </c>
    </row>
    <row r="1843" spans="1:5" ht="15">
      <c r="A1843" s="362"/>
      <c r="B1843" s="365"/>
      <c r="C1843" s="368"/>
      <c r="D1843" s="97">
        <v>34</v>
      </c>
      <c r="E1843" s="107">
        <v>308</v>
      </c>
    </row>
    <row r="1844" spans="1:5" ht="28">
      <c r="A1844" s="362"/>
      <c r="B1844" s="365"/>
      <c r="C1844" s="368"/>
      <c r="D1844" s="98" t="s">
        <v>11</v>
      </c>
      <c r="E1844" s="108">
        <v>1717</v>
      </c>
    </row>
    <row r="1845" spans="1:5" ht="15">
      <c r="A1845" s="362"/>
      <c r="B1845" s="365"/>
      <c r="C1845" s="368" t="s">
        <v>18</v>
      </c>
      <c r="D1845" s="97">
        <v>35</v>
      </c>
      <c r="E1845" s="107">
        <v>346</v>
      </c>
    </row>
    <row r="1846" spans="1:5">
      <c r="A1846" s="362"/>
      <c r="B1846" s="365"/>
      <c r="C1846" s="368"/>
      <c r="D1846" s="98">
        <v>36</v>
      </c>
      <c r="E1846" s="108">
        <v>381</v>
      </c>
    </row>
    <row r="1847" spans="1:5" ht="15">
      <c r="A1847" s="362"/>
      <c r="B1847" s="365"/>
      <c r="C1847" s="368"/>
      <c r="D1847" s="97">
        <v>37</v>
      </c>
      <c r="E1847" s="107">
        <v>330</v>
      </c>
    </row>
    <row r="1848" spans="1:5">
      <c r="A1848" s="362"/>
      <c r="B1848" s="365"/>
      <c r="C1848" s="368"/>
      <c r="D1848" s="98">
        <v>38</v>
      </c>
      <c r="E1848" s="108">
        <v>354</v>
      </c>
    </row>
    <row r="1849" spans="1:5" ht="15">
      <c r="A1849" s="362"/>
      <c r="B1849" s="365"/>
      <c r="C1849" s="368"/>
      <c r="D1849" s="97">
        <v>39</v>
      </c>
      <c r="E1849" s="107">
        <v>295</v>
      </c>
    </row>
    <row r="1850" spans="1:5" ht="28">
      <c r="A1850" s="362"/>
      <c r="B1850" s="365"/>
      <c r="C1850" s="368"/>
      <c r="D1850" s="98" t="s">
        <v>11</v>
      </c>
      <c r="E1850" s="108">
        <v>1706</v>
      </c>
    </row>
    <row r="1851" spans="1:5" ht="15">
      <c r="A1851" s="362"/>
      <c r="B1851" s="365"/>
      <c r="C1851" s="368" t="s">
        <v>19</v>
      </c>
      <c r="D1851" s="97">
        <v>40</v>
      </c>
      <c r="E1851" s="107">
        <v>297</v>
      </c>
    </row>
    <row r="1852" spans="1:5">
      <c r="A1852" s="362"/>
      <c r="B1852" s="365"/>
      <c r="C1852" s="368"/>
      <c r="D1852" s="98">
        <v>41</v>
      </c>
      <c r="E1852" s="108">
        <v>268</v>
      </c>
    </row>
    <row r="1853" spans="1:5" ht="15">
      <c r="A1853" s="362"/>
      <c r="B1853" s="365"/>
      <c r="C1853" s="368"/>
      <c r="D1853" s="97">
        <v>42</v>
      </c>
      <c r="E1853" s="107">
        <v>266</v>
      </c>
    </row>
    <row r="1854" spans="1:5">
      <c r="A1854" s="362"/>
      <c r="B1854" s="365"/>
      <c r="C1854" s="368"/>
      <c r="D1854" s="98">
        <v>43</v>
      </c>
      <c r="E1854" s="108">
        <v>250</v>
      </c>
    </row>
    <row r="1855" spans="1:5" ht="15">
      <c r="A1855" s="362"/>
      <c r="B1855" s="365"/>
      <c r="C1855" s="368"/>
      <c r="D1855" s="97">
        <v>44</v>
      </c>
      <c r="E1855" s="107">
        <v>206</v>
      </c>
    </row>
    <row r="1856" spans="1:5" ht="28">
      <c r="A1856" s="362"/>
      <c r="B1856" s="365"/>
      <c r="C1856" s="368"/>
      <c r="D1856" s="98" t="s">
        <v>11</v>
      </c>
      <c r="E1856" s="108">
        <v>1287</v>
      </c>
    </row>
    <row r="1857" spans="1:5" ht="15">
      <c r="A1857" s="362"/>
      <c r="B1857" s="365"/>
      <c r="C1857" s="368" t="s">
        <v>20</v>
      </c>
      <c r="D1857" s="97">
        <v>45</v>
      </c>
      <c r="E1857" s="107">
        <v>253</v>
      </c>
    </row>
    <row r="1858" spans="1:5">
      <c r="A1858" s="362"/>
      <c r="B1858" s="365"/>
      <c r="C1858" s="368"/>
      <c r="D1858" s="98">
        <v>46</v>
      </c>
      <c r="E1858" s="108">
        <v>247</v>
      </c>
    </row>
    <row r="1859" spans="1:5" ht="15">
      <c r="A1859" s="362"/>
      <c r="B1859" s="365"/>
      <c r="C1859" s="368"/>
      <c r="D1859" s="97">
        <v>47</v>
      </c>
      <c r="E1859" s="107">
        <v>270</v>
      </c>
    </row>
    <row r="1860" spans="1:5">
      <c r="A1860" s="362"/>
      <c r="B1860" s="365"/>
      <c r="C1860" s="368"/>
      <c r="D1860" s="98">
        <v>48</v>
      </c>
      <c r="E1860" s="108">
        <v>289</v>
      </c>
    </row>
    <row r="1861" spans="1:5" ht="15">
      <c r="A1861" s="362"/>
      <c r="B1861" s="365"/>
      <c r="C1861" s="368"/>
      <c r="D1861" s="97">
        <v>49</v>
      </c>
      <c r="E1861" s="107">
        <v>267</v>
      </c>
    </row>
    <row r="1862" spans="1:5" ht="28">
      <c r="A1862" s="362"/>
      <c r="B1862" s="365"/>
      <c r="C1862" s="368"/>
      <c r="D1862" s="98" t="s">
        <v>11</v>
      </c>
      <c r="E1862" s="108">
        <v>1326</v>
      </c>
    </row>
    <row r="1863" spans="1:5" ht="15">
      <c r="A1863" s="362"/>
      <c r="B1863" s="365"/>
      <c r="C1863" s="368" t="s">
        <v>21</v>
      </c>
      <c r="D1863" s="97">
        <v>50</v>
      </c>
      <c r="E1863" s="107">
        <v>274</v>
      </c>
    </row>
    <row r="1864" spans="1:5">
      <c r="A1864" s="362"/>
      <c r="B1864" s="365"/>
      <c r="C1864" s="368"/>
      <c r="D1864" s="98">
        <v>51</v>
      </c>
      <c r="E1864" s="108">
        <v>222</v>
      </c>
    </row>
    <row r="1865" spans="1:5" ht="15">
      <c r="A1865" s="362"/>
      <c r="B1865" s="365"/>
      <c r="C1865" s="368"/>
      <c r="D1865" s="97">
        <v>52</v>
      </c>
      <c r="E1865" s="107">
        <v>256</v>
      </c>
    </row>
    <row r="1866" spans="1:5">
      <c r="A1866" s="362"/>
      <c r="B1866" s="365"/>
      <c r="C1866" s="368"/>
      <c r="D1866" s="98">
        <v>53</v>
      </c>
      <c r="E1866" s="108">
        <v>284</v>
      </c>
    </row>
    <row r="1867" spans="1:5" ht="15">
      <c r="A1867" s="362"/>
      <c r="B1867" s="365"/>
      <c r="C1867" s="368"/>
      <c r="D1867" s="97">
        <v>54</v>
      </c>
      <c r="E1867" s="107">
        <v>239</v>
      </c>
    </row>
    <row r="1868" spans="1:5" ht="28">
      <c r="A1868" s="362"/>
      <c r="B1868" s="365"/>
      <c r="C1868" s="368"/>
      <c r="D1868" s="98" t="s">
        <v>11</v>
      </c>
      <c r="E1868" s="108">
        <v>1275</v>
      </c>
    </row>
    <row r="1869" spans="1:5" ht="15">
      <c r="A1869" s="362"/>
      <c r="B1869" s="365"/>
      <c r="C1869" s="368" t="s">
        <v>22</v>
      </c>
      <c r="D1869" s="97">
        <v>55</v>
      </c>
      <c r="E1869" s="107">
        <v>250</v>
      </c>
    </row>
    <row r="1870" spans="1:5">
      <c r="A1870" s="362"/>
      <c r="B1870" s="365"/>
      <c r="C1870" s="368"/>
      <c r="D1870" s="98">
        <v>56</v>
      </c>
      <c r="E1870" s="108">
        <v>254</v>
      </c>
    </row>
    <row r="1871" spans="1:5" ht="15">
      <c r="A1871" s="362"/>
      <c r="B1871" s="365"/>
      <c r="C1871" s="368"/>
      <c r="D1871" s="97">
        <v>57</v>
      </c>
      <c r="E1871" s="107">
        <v>221</v>
      </c>
    </row>
    <row r="1872" spans="1:5">
      <c r="A1872" s="362"/>
      <c r="B1872" s="365"/>
      <c r="C1872" s="368"/>
      <c r="D1872" s="98">
        <v>58</v>
      </c>
      <c r="E1872" s="108">
        <v>213</v>
      </c>
    </row>
    <row r="1873" spans="1:5" ht="15">
      <c r="A1873" s="362"/>
      <c r="B1873" s="365"/>
      <c r="C1873" s="368"/>
      <c r="D1873" s="97">
        <v>59</v>
      </c>
      <c r="E1873" s="107">
        <v>212</v>
      </c>
    </row>
    <row r="1874" spans="1:5" ht="28">
      <c r="A1874" s="362"/>
      <c r="B1874" s="365"/>
      <c r="C1874" s="368"/>
      <c r="D1874" s="98" t="s">
        <v>11</v>
      </c>
      <c r="E1874" s="108">
        <v>1150</v>
      </c>
    </row>
    <row r="1875" spans="1:5" ht="15">
      <c r="A1875" s="362"/>
      <c r="B1875" s="365"/>
      <c r="C1875" s="368" t="s">
        <v>23</v>
      </c>
      <c r="D1875" s="97">
        <v>60</v>
      </c>
      <c r="E1875" s="107">
        <v>236</v>
      </c>
    </row>
    <row r="1876" spans="1:5">
      <c r="A1876" s="362"/>
      <c r="B1876" s="365"/>
      <c r="C1876" s="368"/>
      <c r="D1876" s="98">
        <v>61</v>
      </c>
      <c r="E1876" s="108">
        <v>195</v>
      </c>
    </row>
    <row r="1877" spans="1:5" ht="15">
      <c r="A1877" s="362"/>
      <c r="B1877" s="365"/>
      <c r="C1877" s="368"/>
      <c r="D1877" s="97">
        <v>62</v>
      </c>
      <c r="E1877" s="107">
        <v>208</v>
      </c>
    </row>
    <row r="1878" spans="1:5">
      <c r="A1878" s="362"/>
      <c r="B1878" s="365"/>
      <c r="C1878" s="368"/>
      <c r="D1878" s="98">
        <v>63</v>
      </c>
      <c r="E1878" s="108">
        <v>168</v>
      </c>
    </row>
    <row r="1879" spans="1:5" ht="15">
      <c r="A1879" s="362"/>
      <c r="B1879" s="365"/>
      <c r="C1879" s="368"/>
      <c r="D1879" s="97">
        <v>64</v>
      </c>
      <c r="E1879" s="107">
        <v>142</v>
      </c>
    </row>
    <row r="1880" spans="1:5" ht="28">
      <c r="A1880" s="362"/>
      <c r="B1880" s="365"/>
      <c r="C1880" s="368"/>
      <c r="D1880" s="98" t="s">
        <v>11</v>
      </c>
      <c r="E1880" s="108">
        <v>949</v>
      </c>
    </row>
    <row r="1881" spans="1:5" ht="15">
      <c r="A1881" s="362"/>
      <c r="B1881" s="365"/>
      <c r="C1881" s="368" t="s">
        <v>24</v>
      </c>
      <c r="D1881" s="97">
        <v>65</v>
      </c>
      <c r="E1881" s="107">
        <v>161</v>
      </c>
    </row>
    <row r="1882" spans="1:5">
      <c r="A1882" s="362"/>
      <c r="B1882" s="365"/>
      <c r="C1882" s="368"/>
      <c r="D1882" s="98">
        <v>66</v>
      </c>
      <c r="E1882" s="108">
        <v>160</v>
      </c>
    </row>
    <row r="1883" spans="1:5" ht="15">
      <c r="A1883" s="362"/>
      <c r="B1883" s="365"/>
      <c r="C1883" s="368"/>
      <c r="D1883" s="97">
        <v>67</v>
      </c>
      <c r="E1883" s="107">
        <v>140</v>
      </c>
    </row>
    <row r="1884" spans="1:5">
      <c r="A1884" s="362"/>
      <c r="B1884" s="365"/>
      <c r="C1884" s="368"/>
      <c r="D1884" s="98">
        <v>68</v>
      </c>
      <c r="E1884" s="108">
        <v>132</v>
      </c>
    </row>
    <row r="1885" spans="1:5" ht="15">
      <c r="A1885" s="362"/>
      <c r="B1885" s="365"/>
      <c r="C1885" s="368"/>
      <c r="D1885" s="97">
        <v>69</v>
      </c>
      <c r="E1885" s="107">
        <v>132</v>
      </c>
    </row>
    <row r="1886" spans="1:5" ht="28">
      <c r="A1886" s="362"/>
      <c r="B1886" s="365"/>
      <c r="C1886" s="368"/>
      <c r="D1886" s="98" t="s">
        <v>11</v>
      </c>
      <c r="E1886" s="108">
        <v>725</v>
      </c>
    </row>
    <row r="1887" spans="1:5" ht="15">
      <c r="A1887" s="362"/>
      <c r="B1887" s="365"/>
      <c r="C1887" s="368" t="s">
        <v>25</v>
      </c>
      <c r="D1887" s="97">
        <v>70</v>
      </c>
      <c r="E1887" s="107">
        <v>114</v>
      </c>
    </row>
    <row r="1888" spans="1:5">
      <c r="A1888" s="362"/>
      <c r="B1888" s="365"/>
      <c r="C1888" s="368"/>
      <c r="D1888" s="98">
        <v>71</v>
      </c>
      <c r="E1888" s="108">
        <v>108</v>
      </c>
    </row>
    <row r="1889" spans="1:5" ht="15">
      <c r="A1889" s="362"/>
      <c r="B1889" s="365"/>
      <c r="C1889" s="368"/>
      <c r="D1889" s="97">
        <v>72</v>
      </c>
      <c r="E1889" s="107">
        <v>103</v>
      </c>
    </row>
    <row r="1890" spans="1:5">
      <c r="A1890" s="362"/>
      <c r="B1890" s="365"/>
      <c r="C1890" s="368"/>
      <c r="D1890" s="98">
        <v>73</v>
      </c>
      <c r="E1890" s="108">
        <v>88</v>
      </c>
    </row>
    <row r="1891" spans="1:5" ht="15">
      <c r="A1891" s="362"/>
      <c r="B1891" s="365"/>
      <c r="C1891" s="368"/>
      <c r="D1891" s="97">
        <v>74</v>
      </c>
      <c r="E1891" s="107">
        <v>76</v>
      </c>
    </row>
    <row r="1892" spans="1:5" ht="28">
      <c r="A1892" s="362"/>
      <c r="B1892" s="365"/>
      <c r="C1892" s="368"/>
      <c r="D1892" s="98" t="s">
        <v>11</v>
      </c>
      <c r="E1892" s="108">
        <v>489</v>
      </c>
    </row>
    <row r="1893" spans="1:5" ht="15">
      <c r="A1893" s="362"/>
      <c r="B1893" s="365"/>
      <c r="C1893" s="368" t="s">
        <v>26</v>
      </c>
      <c r="D1893" s="97">
        <v>75</v>
      </c>
      <c r="E1893" s="107">
        <v>76</v>
      </c>
    </row>
    <row r="1894" spans="1:5">
      <c r="A1894" s="362"/>
      <c r="B1894" s="365"/>
      <c r="C1894" s="368"/>
      <c r="D1894" s="98">
        <v>76</v>
      </c>
      <c r="E1894" s="108">
        <v>72</v>
      </c>
    </row>
    <row r="1895" spans="1:5" ht="15">
      <c r="A1895" s="362"/>
      <c r="B1895" s="365"/>
      <c r="C1895" s="368"/>
      <c r="D1895" s="97">
        <v>77</v>
      </c>
      <c r="E1895" s="107">
        <v>86</v>
      </c>
    </row>
    <row r="1896" spans="1:5">
      <c r="A1896" s="362"/>
      <c r="B1896" s="365"/>
      <c r="C1896" s="368"/>
      <c r="D1896" s="98">
        <v>78</v>
      </c>
      <c r="E1896" s="108">
        <v>79</v>
      </c>
    </row>
    <row r="1897" spans="1:5" ht="15">
      <c r="A1897" s="362"/>
      <c r="B1897" s="365"/>
      <c r="C1897" s="368"/>
      <c r="D1897" s="97">
        <v>79</v>
      </c>
      <c r="E1897" s="107">
        <v>61</v>
      </c>
    </row>
    <row r="1898" spans="1:5" ht="28">
      <c r="A1898" s="362"/>
      <c r="B1898" s="365"/>
      <c r="C1898" s="368"/>
      <c r="D1898" s="98" t="s">
        <v>11</v>
      </c>
      <c r="E1898" s="108">
        <v>374</v>
      </c>
    </row>
    <row r="1899" spans="1:5" ht="15">
      <c r="A1899" s="362"/>
      <c r="B1899" s="365"/>
      <c r="C1899" s="368" t="s">
        <v>27</v>
      </c>
      <c r="D1899" s="97">
        <v>80</v>
      </c>
      <c r="E1899" s="107">
        <v>42</v>
      </c>
    </row>
    <row r="1900" spans="1:5">
      <c r="A1900" s="362"/>
      <c r="B1900" s="365"/>
      <c r="C1900" s="368"/>
      <c r="D1900" s="98">
        <v>81</v>
      </c>
      <c r="E1900" s="108">
        <v>53</v>
      </c>
    </row>
    <row r="1901" spans="1:5" ht="15">
      <c r="A1901" s="362"/>
      <c r="B1901" s="365"/>
      <c r="C1901" s="368"/>
      <c r="D1901" s="97">
        <v>82</v>
      </c>
      <c r="E1901" s="107">
        <v>53</v>
      </c>
    </row>
    <row r="1902" spans="1:5">
      <c r="A1902" s="362"/>
      <c r="B1902" s="365"/>
      <c r="C1902" s="368"/>
      <c r="D1902" s="98">
        <v>83</v>
      </c>
      <c r="E1902" s="108">
        <v>52</v>
      </c>
    </row>
    <row r="1903" spans="1:5" ht="15">
      <c r="A1903" s="362"/>
      <c r="B1903" s="365"/>
      <c r="C1903" s="368"/>
      <c r="D1903" s="97">
        <v>84</v>
      </c>
      <c r="E1903" s="107">
        <v>35</v>
      </c>
    </row>
    <row r="1904" spans="1:5" ht="28">
      <c r="A1904" s="362"/>
      <c r="B1904" s="365"/>
      <c r="C1904" s="368"/>
      <c r="D1904" s="98" t="s">
        <v>11</v>
      </c>
      <c r="E1904" s="108">
        <v>235</v>
      </c>
    </row>
    <row r="1905" spans="1:5" ht="15">
      <c r="A1905" s="362"/>
      <c r="B1905" s="365"/>
      <c r="C1905" s="368" t="s">
        <v>28</v>
      </c>
      <c r="D1905" s="97">
        <v>85</v>
      </c>
      <c r="E1905" s="107">
        <v>48</v>
      </c>
    </row>
    <row r="1906" spans="1:5">
      <c r="A1906" s="362"/>
      <c r="B1906" s="365"/>
      <c r="C1906" s="368"/>
      <c r="D1906" s="98">
        <v>86</v>
      </c>
      <c r="E1906" s="108">
        <v>36</v>
      </c>
    </row>
    <row r="1907" spans="1:5" ht="15">
      <c r="A1907" s="362"/>
      <c r="B1907" s="365"/>
      <c r="C1907" s="368"/>
      <c r="D1907" s="97">
        <v>87</v>
      </c>
      <c r="E1907" s="107">
        <v>41</v>
      </c>
    </row>
    <row r="1908" spans="1:5">
      <c r="A1908" s="362"/>
      <c r="B1908" s="365"/>
      <c r="C1908" s="368"/>
      <c r="D1908" s="98">
        <v>88</v>
      </c>
      <c r="E1908" s="108">
        <v>40</v>
      </c>
    </row>
    <row r="1909" spans="1:5" ht="15">
      <c r="A1909" s="362"/>
      <c r="B1909" s="365"/>
      <c r="C1909" s="368"/>
      <c r="D1909" s="97">
        <v>89</v>
      </c>
      <c r="E1909" s="107">
        <v>33</v>
      </c>
    </row>
    <row r="1910" spans="1:5" ht="28">
      <c r="A1910" s="362"/>
      <c r="B1910" s="365"/>
      <c r="C1910" s="368"/>
      <c r="D1910" s="98" t="s">
        <v>11</v>
      </c>
      <c r="E1910" s="108">
        <v>198</v>
      </c>
    </row>
    <row r="1911" spans="1:5" ht="15">
      <c r="A1911" s="362"/>
      <c r="B1911" s="365"/>
      <c r="C1911" s="368" t="s">
        <v>29</v>
      </c>
      <c r="D1911" s="97">
        <v>90</v>
      </c>
      <c r="E1911" s="107">
        <v>27</v>
      </c>
    </row>
    <row r="1912" spans="1:5">
      <c r="A1912" s="362"/>
      <c r="B1912" s="365"/>
      <c r="C1912" s="368"/>
      <c r="D1912" s="98">
        <v>91</v>
      </c>
      <c r="E1912" s="108">
        <v>17</v>
      </c>
    </row>
    <row r="1913" spans="1:5" ht="15">
      <c r="A1913" s="362"/>
      <c r="B1913" s="365"/>
      <c r="C1913" s="368"/>
      <c r="D1913" s="97">
        <v>92</v>
      </c>
      <c r="E1913" s="107">
        <v>17</v>
      </c>
    </row>
    <row r="1914" spans="1:5">
      <c r="A1914" s="362"/>
      <c r="B1914" s="365"/>
      <c r="C1914" s="368"/>
      <c r="D1914" s="98">
        <v>93</v>
      </c>
      <c r="E1914" s="108">
        <v>7</v>
      </c>
    </row>
    <row r="1915" spans="1:5" ht="15">
      <c r="A1915" s="362"/>
      <c r="B1915" s="365"/>
      <c r="C1915" s="368"/>
      <c r="D1915" s="97">
        <v>94</v>
      </c>
      <c r="E1915" s="107">
        <v>10</v>
      </c>
    </row>
    <row r="1916" spans="1:5" ht="28">
      <c r="A1916" s="362"/>
      <c r="B1916" s="365"/>
      <c r="C1916" s="368"/>
      <c r="D1916" s="98" t="s">
        <v>11</v>
      </c>
      <c r="E1916" s="108">
        <v>78</v>
      </c>
    </row>
    <row r="1917" spans="1:5" ht="15">
      <c r="A1917" s="362"/>
      <c r="B1917" s="365"/>
      <c r="C1917" s="368" t="s">
        <v>30</v>
      </c>
      <c r="D1917" s="97">
        <v>95</v>
      </c>
      <c r="E1917" s="107">
        <v>11</v>
      </c>
    </row>
    <row r="1918" spans="1:5">
      <c r="A1918" s="362"/>
      <c r="B1918" s="365"/>
      <c r="C1918" s="368"/>
      <c r="D1918" s="98">
        <v>96</v>
      </c>
      <c r="E1918" s="108">
        <v>10</v>
      </c>
    </row>
    <row r="1919" spans="1:5" ht="15">
      <c r="A1919" s="362"/>
      <c r="B1919" s="365"/>
      <c r="C1919" s="368"/>
      <c r="D1919" s="97">
        <v>97</v>
      </c>
      <c r="E1919" s="107">
        <v>4</v>
      </c>
    </row>
    <row r="1920" spans="1:5">
      <c r="A1920" s="362"/>
      <c r="B1920" s="365"/>
      <c r="C1920" s="368"/>
      <c r="D1920" s="98">
        <v>98</v>
      </c>
      <c r="E1920" s="108">
        <v>2</v>
      </c>
    </row>
    <row r="1921" spans="1:5" ht="15">
      <c r="A1921" s="362"/>
      <c r="B1921" s="365"/>
      <c r="C1921" s="368"/>
      <c r="D1921" s="97">
        <v>99</v>
      </c>
      <c r="E1921" s="107">
        <v>2</v>
      </c>
    </row>
    <row r="1922" spans="1:5" ht="28">
      <c r="A1922" s="362"/>
      <c r="B1922" s="365"/>
      <c r="C1922" s="368"/>
      <c r="D1922" s="98" t="s">
        <v>11</v>
      </c>
      <c r="E1922" s="108">
        <v>29</v>
      </c>
    </row>
    <row r="1923" spans="1:5" ht="15">
      <c r="A1923" s="362"/>
      <c r="B1923" s="365"/>
      <c r="C1923" s="368" t="s">
        <v>31</v>
      </c>
      <c r="D1923" s="97">
        <v>100</v>
      </c>
      <c r="E1923" s="107">
        <v>2</v>
      </c>
    </row>
    <row r="1924" spans="1:5">
      <c r="A1924" s="362"/>
      <c r="B1924" s="365"/>
      <c r="C1924" s="368"/>
      <c r="D1924" s="98">
        <v>102</v>
      </c>
      <c r="E1924" s="108">
        <v>3</v>
      </c>
    </row>
    <row r="1925" spans="1:5" ht="28">
      <c r="A1925" s="362"/>
      <c r="B1925" s="365"/>
      <c r="C1925" s="368"/>
      <c r="D1925" s="97" t="s">
        <v>11</v>
      </c>
      <c r="E1925" s="107">
        <v>5</v>
      </c>
    </row>
    <row r="1926" spans="1:5">
      <c r="A1926" s="362"/>
      <c r="B1926" s="365"/>
      <c r="C1926" s="368" t="s">
        <v>32</v>
      </c>
      <c r="D1926" s="98">
        <v>106</v>
      </c>
      <c r="E1926" s="108">
        <v>1</v>
      </c>
    </row>
    <row r="1927" spans="1:5" ht="28.5" thickBot="1">
      <c r="A1927" s="363"/>
      <c r="B1927" s="366"/>
      <c r="C1927" s="369"/>
      <c r="D1927" s="109" t="s">
        <v>11</v>
      </c>
      <c r="E1927" s="110">
        <v>1</v>
      </c>
    </row>
  </sheetData>
  <mergeCells count="487">
    <mergeCell ref="A1:C2"/>
    <mergeCell ref="M4:N5"/>
    <mergeCell ref="N114:N118"/>
    <mergeCell ref="N120:N124"/>
    <mergeCell ref="N126:N140"/>
    <mergeCell ref="O7:O10"/>
    <mergeCell ref="O12:O16"/>
    <mergeCell ref="O18:O22"/>
    <mergeCell ref="O24:O28"/>
    <mergeCell ref="O30:O34"/>
    <mergeCell ref="O36:O40"/>
    <mergeCell ref="O42:O46"/>
    <mergeCell ref="O48:O52"/>
    <mergeCell ref="O54:O58"/>
    <mergeCell ref="O60:O64"/>
    <mergeCell ref="O66:O70"/>
    <mergeCell ref="O72:O76"/>
    <mergeCell ref="O78:O82"/>
    <mergeCell ref="O84:O88"/>
    <mergeCell ref="O90:O94"/>
    <mergeCell ref="O96:O100"/>
    <mergeCell ref="O102:O106"/>
    <mergeCell ref="O108:O112"/>
    <mergeCell ref="O114:O118"/>
    <mergeCell ref="O120:O124"/>
    <mergeCell ref="O126:O140"/>
    <mergeCell ref="N60:N64"/>
    <mergeCell ref="N66:N70"/>
    <mergeCell ref="N72:N76"/>
    <mergeCell ref="N78:N82"/>
    <mergeCell ref="N84:N88"/>
    <mergeCell ref="N90:N94"/>
    <mergeCell ref="N96:N100"/>
    <mergeCell ref="N102:N106"/>
    <mergeCell ref="N108:N112"/>
    <mergeCell ref="M114:M118"/>
    <mergeCell ref="M120:M124"/>
    <mergeCell ref="M126:M140"/>
    <mergeCell ref="N7:N10"/>
    <mergeCell ref="N12:N16"/>
    <mergeCell ref="N18:N22"/>
    <mergeCell ref="N24:N28"/>
    <mergeCell ref="N30:N34"/>
    <mergeCell ref="N36:N40"/>
    <mergeCell ref="N42:N46"/>
    <mergeCell ref="N48:N52"/>
    <mergeCell ref="N54:N58"/>
    <mergeCell ref="M60:M64"/>
    <mergeCell ref="M66:M70"/>
    <mergeCell ref="M72:M76"/>
    <mergeCell ref="M78:M82"/>
    <mergeCell ref="M84:M88"/>
    <mergeCell ref="M90:M94"/>
    <mergeCell ref="M96:M100"/>
    <mergeCell ref="M102:M106"/>
    <mergeCell ref="M108:M112"/>
    <mergeCell ref="M7:M10"/>
    <mergeCell ref="M12:M16"/>
    <mergeCell ref="M18:M22"/>
    <mergeCell ref="M24:M28"/>
    <mergeCell ref="M30:M34"/>
    <mergeCell ref="M36:M40"/>
    <mergeCell ref="M42:M46"/>
    <mergeCell ref="M48:M52"/>
    <mergeCell ref="M54:M58"/>
    <mergeCell ref="H114:H118"/>
    <mergeCell ref="H120:H124"/>
    <mergeCell ref="H126:H140"/>
    <mergeCell ref="I60:I64"/>
    <mergeCell ref="I72:I76"/>
    <mergeCell ref="I78:I82"/>
    <mergeCell ref="I84:I88"/>
    <mergeCell ref="I90:I94"/>
    <mergeCell ref="I96:I100"/>
    <mergeCell ref="I102:I106"/>
    <mergeCell ref="I108:I112"/>
    <mergeCell ref="I114:I118"/>
    <mergeCell ref="I120:I124"/>
    <mergeCell ref="I126:I140"/>
    <mergeCell ref="H60:H64"/>
    <mergeCell ref="H66:H69"/>
    <mergeCell ref="H72:H76"/>
    <mergeCell ref="H78:H82"/>
    <mergeCell ref="I7:I10"/>
    <mergeCell ref="I12:I16"/>
    <mergeCell ref="I18:I22"/>
    <mergeCell ref="I24:I28"/>
    <mergeCell ref="I30:I34"/>
    <mergeCell ref="I36:I40"/>
    <mergeCell ref="I42:I46"/>
    <mergeCell ref="I48:I52"/>
    <mergeCell ref="I54:I58"/>
    <mergeCell ref="H84:H88"/>
    <mergeCell ref="H90:H94"/>
    <mergeCell ref="H96:H100"/>
    <mergeCell ref="H102:H106"/>
    <mergeCell ref="H108:H112"/>
    <mergeCell ref="H7:H10"/>
    <mergeCell ref="H12:H16"/>
    <mergeCell ref="H18:H22"/>
    <mergeCell ref="H24:H28"/>
    <mergeCell ref="H30:H34"/>
    <mergeCell ref="H36:H40"/>
    <mergeCell ref="H42:H46"/>
    <mergeCell ref="H48:H52"/>
    <mergeCell ref="H54:H58"/>
    <mergeCell ref="C1917:C1922"/>
    <mergeCell ref="C1923:C1925"/>
    <mergeCell ref="C1926:C1927"/>
    <mergeCell ref="G7:G10"/>
    <mergeCell ref="G12:G16"/>
    <mergeCell ref="G18:G22"/>
    <mergeCell ref="G24:G28"/>
    <mergeCell ref="G30:G34"/>
    <mergeCell ref="G36:G40"/>
    <mergeCell ref="G42:G46"/>
    <mergeCell ref="G48:G52"/>
    <mergeCell ref="G54:G58"/>
    <mergeCell ref="G60:G64"/>
    <mergeCell ref="G66:G69"/>
    <mergeCell ref="G72:G76"/>
    <mergeCell ref="G78:G82"/>
    <mergeCell ref="G84:G88"/>
    <mergeCell ref="G90:G94"/>
    <mergeCell ref="G96:G100"/>
    <mergeCell ref="G102:G106"/>
    <mergeCell ref="G108:G112"/>
    <mergeCell ref="G114:G118"/>
    <mergeCell ref="G120:G124"/>
    <mergeCell ref="G126:G140"/>
    <mergeCell ref="C1863:C1868"/>
    <mergeCell ref="C1869:C1874"/>
    <mergeCell ref="C1875:C1880"/>
    <mergeCell ref="C1881:C1886"/>
    <mergeCell ref="C1887:C1892"/>
    <mergeCell ref="C1893:C1898"/>
    <mergeCell ref="C1899:C1904"/>
    <mergeCell ref="C1905:C1910"/>
    <mergeCell ref="C1911:C1916"/>
    <mergeCell ref="C1809:C1814"/>
    <mergeCell ref="C1815:C1820"/>
    <mergeCell ref="C1821:C1826"/>
    <mergeCell ref="C1827:C1832"/>
    <mergeCell ref="C1833:C1838"/>
    <mergeCell ref="C1839:C1844"/>
    <mergeCell ref="C1845:C1850"/>
    <mergeCell ref="C1851:C1856"/>
    <mergeCell ref="C1857:C1862"/>
    <mergeCell ref="C1763:C1768"/>
    <mergeCell ref="C1769:C1774"/>
    <mergeCell ref="C1775:C1780"/>
    <mergeCell ref="C1781:C1786"/>
    <mergeCell ref="C1787:C1792"/>
    <mergeCell ref="C1793:C1797"/>
    <mergeCell ref="C1798:C1800"/>
    <mergeCell ref="C1801:C1802"/>
    <mergeCell ref="C1803:C1808"/>
    <mergeCell ref="C1709:C1714"/>
    <mergeCell ref="C1715:C1720"/>
    <mergeCell ref="C1721:C1726"/>
    <mergeCell ref="C1727:C1732"/>
    <mergeCell ref="C1733:C1738"/>
    <mergeCell ref="C1739:C1744"/>
    <mergeCell ref="C1745:C1750"/>
    <mergeCell ref="C1751:C1756"/>
    <mergeCell ref="C1757:C1762"/>
    <mergeCell ref="C1665:C1669"/>
    <mergeCell ref="C1670:C1673"/>
    <mergeCell ref="C1674:C1676"/>
    <mergeCell ref="C1677:C1678"/>
    <mergeCell ref="C1679:C1684"/>
    <mergeCell ref="C1685:C1690"/>
    <mergeCell ref="C1691:C1696"/>
    <mergeCell ref="C1697:C1702"/>
    <mergeCell ref="C1703:C1708"/>
    <mergeCell ref="C1611:C1616"/>
    <mergeCell ref="C1617:C1622"/>
    <mergeCell ref="C1623:C1628"/>
    <mergeCell ref="C1629:C1634"/>
    <mergeCell ref="C1635:C1640"/>
    <mergeCell ref="C1641:C1646"/>
    <mergeCell ref="C1647:C1652"/>
    <mergeCell ref="C1653:C1658"/>
    <mergeCell ref="C1659:C1664"/>
    <mergeCell ref="C1557:C1562"/>
    <mergeCell ref="C1563:C1568"/>
    <mergeCell ref="C1569:C1574"/>
    <mergeCell ref="C1575:C1580"/>
    <mergeCell ref="C1581:C1586"/>
    <mergeCell ref="C1587:C1592"/>
    <mergeCell ref="C1593:C1598"/>
    <mergeCell ref="C1599:C1604"/>
    <mergeCell ref="C1605:C1610"/>
    <mergeCell ref="C1516:C1521"/>
    <mergeCell ref="C1522:C1526"/>
    <mergeCell ref="C1527:C1529"/>
    <mergeCell ref="C1530:C1534"/>
    <mergeCell ref="C1535:C1536"/>
    <mergeCell ref="C1537:C1538"/>
    <mergeCell ref="C1539:C1544"/>
    <mergeCell ref="C1545:C1550"/>
    <mergeCell ref="C1551:C1556"/>
    <mergeCell ref="C1462:C1467"/>
    <mergeCell ref="C1468:C1473"/>
    <mergeCell ref="C1474:C1479"/>
    <mergeCell ref="C1480:C1485"/>
    <mergeCell ref="C1486:C1491"/>
    <mergeCell ref="C1492:C1497"/>
    <mergeCell ref="C1498:C1503"/>
    <mergeCell ref="C1504:C1509"/>
    <mergeCell ref="C1510:C1515"/>
    <mergeCell ref="C1408:C1413"/>
    <mergeCell ref="C1414:C1419"/>
    <mergeCell ref="C1420:C1425"/>
    <mergeCell ref="C1426:C1431"/>
    <mergeCell ref="C1432:C1437"/>
    <mergeCell ref="C1438:C1443"/>
    <mergeCell ref="C1444:C1449"/>
    <mergeCell ref="C1450:C1455"/>
    <mergeCell ref="C1456:C1461"/>
    <mergeCell ref="C1362:C1367"/>
    <mergeCell ref="C1368:C1373"/>
    <mergeCell ref="C1374:C1379"/>
    <mergeCell ref="C1380:C1385"/>
    <mergeCell ref="C1386:C1391"/>
    <mergeCell ref="C1392:C1395"/>
    <mergeCell ref="C1396:C1399"/>
    <mergeCell ref="C1400:C1401"/>
    <mergeCell ref="C1402:C1407"/>
    <mergeCell ref="C1308:C1313"/>
    <mergeCell ref="C1314:C1319"/>
    <mergeCell ref="C1320:C1325"/>
    <mergeCell ref="C1326:C1331"/>
    <mergeCell ref="C1332:C1337"/>
    <mergeCell ref="C1338:C1343"/>
    <mergeCell ref="C1344:C1349"/>
    <mergeCell ref="C1350:C1355"/>
    <mergeCell ref="C1356:C1361"/>
    <mergeCell ref="C1260:C1264"/>
    <mergeCell ref="C1265:C1268"/>
    <mergeCell ref="C1269:C1271"/>
    <mergeCell ref="C1272:C1277"/>
    <mergeCell ref="C1278:C1283"/>
    <mergeCell ref="C1284:C1289"/>
    <mergeCell ref="C1290:C1295"/>
    <mergeCell ref="C1296:C1301"/>
    <mergeCell ref="C1302:C1307"/>
    <mergeCell ref="C1207:C1212"/>
    <mergeCell ref="C1213:C1218"/>
    <mergeCell ref="C1219:C1224"/>
    <mergeCell ref="C1225:C1230"/>
    <mergeCell ref="C1231:C1236"/>
    <mergeCell ref="C1237:C1242"/>
    <mergeCell ref="C1243:C1248"/>
    <mergeCell ref="C1249:C1254"/>
    <mergeCell ref="C1255:C1259"/>
    <mergeCell ref="C1153:C1158"/>
    <mergeCell ref="C1159:C1164"/>
    <mergeCell ref="C1165:C1170"/>
    <mergeCell ref="C1171:C1176"/>
    <mergeCell ref="C1177:C1182"/>
    <mergeCell ref="C1183:C1188"/>
    <mergeCell ref="C1189:C1194"/>
    <mergeCell ref="C1195:C1200"/>
    <mergeCell ref="C1201:C1206"/>
    <mergeCell ref="C1105:C1110"/>
    <mergeCell ref="C1111:C1116"/>
    <mergeCell ref="C1117:C1122"/>
    <mergeCell ref="C1123:C1126"/>
    <mergeCell ref="C1127:C1128"/>
    <mergeCell ref="C1129:C1134"/>
    <mergeCell ref="C1135:C1140"/>
    <mergeCell ref="C1141:C1146"/>
    <mergeCell ref="C1147:C1152"/>
    <mergeCell ref="C1051:C1056"/>
    <mergeCell ref="C1057:C1062"/>
    <mergeCell ref="C1063:C1068"/>
    <mergeCell ref="C1069:C1074"/>
    <mergeCell ref="C1075:C1080"/>
    <mergeCell ref="C1081:C1086"/>
    <mergeCell ref="C1087:C1092"/>
    <mergeCell ref="C1093:C1098"/>
    <mergeCell ref="C1099:C1104"/>
    <mergeCell ref="C1001:C1005"/>
    <mergeCell ref="C1006:C1011"/>
    <mergeCell ref="C1012:C1014"/>
    <mergeCell ref="C1015:C1020"/>
    <mergeCell ref="C1021:C1026"/>
    <mergeCell ref="C1027:C1032"/>
    <mergeCell ref="C1033:C1038"/>
    <mergeCell ref="C1039:C1044"/>
    <mergeCell ref="C1045:C1050"/>
    <mergeCell ref="C947:C952"/>
    <mergeCell ref="C953:C958"/>
    <mergeCell ref="C959:C964"/>
    <mergeCell ref="C965:C970"/>
    <mergeCell ref="C971:C976"/>
    <mergeCell ref="C977:C982"/>
    <mergeCell ref="C983:C988"/>
    <mergeCell ref="C989:C994"/>
    <mergeCell ref="C995:C1000"/>
    <mergeCell ref="C893:C898"/>
    <mergeCell ref="C899:C904"/>
    <mergeCell ref="C905:C910"/>
    <mergeCell ref="C911:C916"/>
    <mergeCell ref="C917:C922"/>
    <mergeCell ref="C923:C928"/>
    <mergeCell ref="C929:C934"/>
    <mergeCell ref="C935:C940"/>
    <mergeCell ref="C941:C946"/>
    <mergeCell ref="C841:C846"/>
    <mergeCell ref="C847:C852"/>
    <mergeCell ref="C853:C858"/>
    <mergeCell ref="C859:C864"/>
    <mergeCell ref="C865:C870"/>
    <mergeCell ref="C871:C876"/>
    <mergeCell ref="C877:C882"/>
    <mergeCell ref="C883:C888"/>
    <mergeCell ref="C889:C892"/>
    <mergeCell ref="C787:C792"/>
    <mergeCell ref="C793:C798"/>
    <mergeCell ref="C799:C804"/>
    <mergeCell ref="C805:C810"/>
    <mergeCell ref="C811:C816"/>
    <mergeCell ref="C817:C822"/>
    <mergeCell ref="C823:C828"/>
    <mergeCell ref="C829:C834"/>
    <mergeCell ref="C835:C840"/>
    <mergeCell ref="C741:C746"/>
    <mergeCell ref="C747:C752"/>
    <mergeCell ref="C753:C758"/>
    <mergeCell ref="C759:C764"/>
    <mergeCell ref="C765:C766"/>
    <mergeCell ref="C767:C768"/>
    <mergeCell ref="C769:C774"/>
    <mergeCell ref="C775:C780"/>
    <mergeCell ref="C781:C786"/>
    <mergeCell ref="C687:C692"/>
    <mergeCell ref="C693:C698"/>
    <mergeCell ref="C699:C704"/>
    <mergeCell ref="C705:C710"/>
    <mergeCell ref="C711:C716"/>
    <mergeCell ref="C717:C722"/>
    <mergeCell ref="C723:C728"/>
    <mergeCell ref="C729:C734"/>
    <mergeCell ref="C735:C740"/>
    <mergeCell ref="C633:C638"/>
    <mergeCell ref="C639:C644"/>
    <mergeCell ref="C645:C650"/>
    <mergeCell ref="C651:C656"/>
    <mergeCell ref="C657:C662"/>
    <mergeCell ref="C663:C668"/>
    <mergeCell ref="C669:C674"/>
    <mergeCell ref="C675:C680"/>
    <mergeCell ref="C681:C686"/>
    <mergeCell ref="C579:C584"/>
    <mergeCell ref="C585:C590"/>
    <mergeCell ref="C591:C596"/>
    <mergeCell ref="C597:C602"/>
    <mergeCell ref="C603:C608"/>
    <mergeCell ref="C609:C614"/>
    <mergeCell ref="C615:C620"/>
    <mergeCell ref="C621:C626"/>
    <mergeCell ref="C627:C632"/>
    <mergeCell ref="C525:C530"/>
    <mergeCell ref="C531:C536"/>
    <mergeCell ref="C537:C542"/>
    <mergeCell ref="C543:C548"/>
    <mergeCell ref="C549:C554"/>
    <mergeCell ref="C555:C560"/>
    <mergeCell ref="C561:C566"/>
    <mergeCell ref="C567:C572"/>
    <mergeCell ref="C573:C578"/>
    <mergeCell ref="C483:C488"/>
    <mergeCell ref="C489:C494"/>
    <mergeCell ref="C495:C500"/>
    <mergeCell ref="C501:C506"/>
    <mergeCell ref="C507:C511"/>
    <mergeCell ref="C512:C516"/>
    <mergeCell ref="C517:C518"/>
    <mergeCell ref="C519:C521"/>
    <mergeCell ref="C522:C524"/>
    <mergeCell ref="C429:C434"/>
    <mergeCell ref="C435:C440"/>
    <mergeCell ref="C441:C446"/>
    <mergeCell ref="C447:C452"/>
    <mergeCell ref="C453:C458"/>
    <mergeCell ref="C459:C464"/>
    <mergeCell ref="C465:C470"/>
    <mergeCell ref="C471:C476"/>
    <mergeCell ref="C477:C482"/>
    <mergeCell ref="C377:C382"/>
    <mergeCell ref="C383:C388"/>
    <mergeCell ref="C389:C392"/>
    <mergeCell ref="C393:C398"/>
    <mergeCell ref="C399:C404"/>
    <mergeCell ref="C405:C410"/>
    <mergeCell ref="C411:C416"/>
    <mergeCell ref="C417:C422"/>
    <mergeCell ref="C423:C428"/>
    <mergeCell ref="C323:C328"/>
    <mergeCell ref="C329:C334"/>
    <mergeCell ref="C335:C340"/>
    <mergeCell ref="C341:C346"/>
    <mergeCell ref="C347:C352"/>
    <mergeCell ref="C353:C358"/>
    <mergeCell ref="C359:C364"/>
    <mergeCell ref="C365:C370"/>
    <mergeCell ref="C371:C376"/>
    <mergeCell ref="C269:C274"/>
    <mergeCell ref="C275:C280"/>
    <mergeCell ref="C281:C286"/>
    <mergeCell ref="C287:C292"/>
    <mergeCell ref="C293:C298"/>
    <mergeCell ref="C299:C304"/>
    <mergeCell ref="C305:C310"/>
    <mergeCell ref="C311:C316"/>
    <mergeCell ref="C317:C322"/>
    <mergeCell ref="C231:C236"/>
    <mergeCell ref="C237:C242"/>
    <mergeCell ref="C243:C248"/>
    <mergeCell ref="C249:C254"/>
    <mergeCell ref="C255:C259"/>
    <mergeCell ref="C260:C262"/>
    <mergeCell ref="C263:C264"/>
    <mergeCell ref="C265:C266"/>
    <mergeCell ref="C267:C268"/>
    <mergeCell ref="C177:C182"/>
    <mergeCell ref="C183:C188"/>
    <mergeCell ref="C189:C194"/>
    <mergeCell ref="C195:C200"/>
    <mergeCell ref="C201:C206"/>
    <mergeCell ref="C207:C212"/>
    <mergeCell ref="C213:C218"/>
    <mergeCell ref="C219:C224"/>
    <mergeCell ref="C225:C230"/>
    <mergeCell ref="C132:C134"/>
    <mergeCell ref="C135:C138"/>
    <mergeCell ref="C139:C140"/>
    <mergeCell ref="C141:C146"/>
    <mergeCell ref="C147:C152"/>
    <mergeCell ref="C153:C158"/>
    <mergeCell ref="C159:C164"/>
    <mergeCell ref="C165:C170"/>
    <mergeCell ref="C171:C176"/>
    <mergeCell ref="C78:C83"/>
    <mergeCell ref="C84:C89"/>
    <mergeCell ref="C90:C95"/>
    <mergeCell ref="C96:C101"/>
    <mergeCell ref="C102:C107"/>
    <mergeCell ref="C108:C113"/>
    <mergeCell ref="C114:C119"/>
    <mergeCell ref="C120:C125"/>
    <mergeCell ref="C126:C131"/>
    <mergeCell ref="C24:C29"/>
    <mergeCell ref="C30:C35"/>
    <mergeCell ref="C36:C41"/>
    <mergeCell ref="C42:C47"/>
    <mergeCell ref="C48:C53"/>
    <mergeCell ref="C54:C59"/>
    <mergeCell ref="C60:C65"/>
    <mergeCell ref="C66:C71"/>
    <mergeCell ref="C72:C77"/>
    <mergeCell ref="B4:D4"/>
    <mergeCell ref="G4:I4"/>
    <mergeCell ref="I66:I69"/>
    <mergeCell ref="M3:O3"/>
    <mergeCell ref="T9:Y10"/>
    <mergeCell ref="A6:A1927"/>
    <mergeCell ref="B6:B140"/>
    <mergeCell ref="B141:B268"/>
    <mergeCell ref="B269:B392"/>
    <mergeCell ref="B393:B524"/>
    <mergeCell ref="B525:B644"/>
    <mergeCell ref="B645:B768"/>
    <mergeCell ref="B769:B892"/>
    <mergeCell ref="B893:B1014"/>
    <mergeCell ref="B1015:B1128"/>
    <mergeCell ref="B1129:B1271"/>
    <mergeCell ref="B1272:B1401"/>
    <mergeCell ref="B1402:B1538"/>
    <mergeCell ref="B1539:B1678"/>
    <mergeCell ref="B1679:B1802"/>
    <mergeCell ref="B1803:B1927"/>
    <mergeCell ref="C6:C11"/>
    <mergeCell ref="C12:C17"/>
    <mergeCell ref="C18:C2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D9D2-09F4-4BF2-86F1-A4C1C5197C1A}">
  <sheetPr filterMode="1"/>
  <dimension ref="A1:Y67"/>
  <sheetViews>
    <sheetView topLeftCell="F1" zoomScale="70" zoomScaleNormal="70" workbookViewId="0">
      <selection activeCell="M48" sqref="M48"/>
    </sheetView>
  </sheetViews>
  <sheetFormatPr baseColWidth="10" defaultRowHeight="14.5"/>
  <cols>
    <col min="2" max="2" width="20.6328125" customWidth="1"/>
    <col min="8" max="8" width="24.81640625" customWidth="1"/>
    <col min="15" max="15" width="27" customWidth="1"/>
    <col min="21" max="21" width="19.81640625" customWidth="1"/>
  </cols>
  <sheetData>
    <row r="1" spans="1:25" ht="15" thickBot="1"/>
    <row r="2" spans="1:25" ht="15.5" thickBot="1">
      <c r="B2" s="401" t="s">
        <v>45</v>
      </c>
      <c r="C2" s="410" t="s">
        <v>1</v>
      </c>
      <c r="D2" s="410"/>
      <c r="E2" s="410"/>
      <c r="H2" s="414" t="s">
        <v>45</v>
      </c>
      <c r="I2" s="414" t="s">
        <v>1</v>
      </c>
      <c r="J2" s="414"/>
      <c r="K2" s="414"/>
      <c r="N2" s="406" t="s">
        <v>423</v>
      </c>
      <c r="O2" s="407"/>
      <c r="P2" s="411" t="s">
        <v>1</v>
      </c>
      <c r="Q2" s="412"/>
      <c r="R2" s="413"/>
      <c r="T2" s="516" t="s">
        <v>91</v>
      </c>
      <c r="U2" s="517"/>
      <c r="V2" s="507" t="s">
        <v>1</v>
      </c>
      <c r="W2" s="508"/>
      <c r="X2" s="509"/>
      <c r="Y2" s="121"/>
    </row>
    <row r="3" spans="1:25" ht="15.5" thickBot="1">
      <c r="B3" s="401"/>
      <c r="C3" s="287" t="s">
        <v>45</v>
      </c>
      <c r="D3" s="286" t="s">
        <v>77</v>
      </c>
      <c r="E3" s="288" t="s">
        <v>78</v>
      </c>
      <c r="H3" s="414"/>
      <c r="I3" s="290" t="s">
        <v>45</v>
      </c>
      <c r="J3" s="289" t="s">
        <v>77</v>
      </c>
      <c r="K3" s="290" t="s">
        <v>78</v>
      </c>
      <c r="N3" s="408"/>
      <c r="O3" s="409"/>
      <c r="P3" s="315" t="s">
        <v>45</v>
      </c>
      <c r="Q3" s="316" t="s">
        <v>77</v>
      </c>
      <c r="R3" s="315" t="s">
        <v>78</v>
      </c>
      <c r="T3" s="518"/>
      <c r="U3" s="519"/>
      <c r="V3" s="510" t="s">
        <v>45</v>
      </c>
      <c r="W3" s="146" t="s">
        <v>77</v>
      </c>
      <c r="X3" s="506" t="s">
        <v>78</v>
      </c>
    </row>
    <row r="4" spans="1:25" ht="15" thickBot="1">
      <c r="A4" s="279" t="s">
        <v>45</v>
      </c>
      <c r="B4" s="282" t="s">
        <v>45</v>
      </c>
      <c r="C4" s="283">
        <v>2759</v>
      </c>
      <c r="D4" s="283">
        <v>1546</v>
      </c>
      <c r="E4" s="283">
        <v>1213</v>
      </c>
      <c r="G4" s="270" t="s">
        <v>45</v>
      </c>
      <c r="H4" s="282" t="s">
        <v>45</v>
      </c>
      <c r="I4" s="283">
        <v>856</v>
      </c>
      <c r="J4" s="283">
        <v>498</v>
      </c>
      <c r="K4" s="283">
        <v>358</v>
      </c>
      <c r="N4" s="317" t="s">
        <v>45</v>
      </c>
      <c r="O4" s="319" t="s">
        <v>45</v>
      </c>
      <c r="P4" s="318">
        <f>C4</f>
        <v>2759</v>
      </c>
      <c r="Q4" s="314">
        <f>D4</f>
        <v>1546</v>
      </c>
      <c r="R4" s="321">
        <f>E4</f>
        <v>1213</v>
      </c>
      <c r="S4" s="121"/>
      <c r="T4" s="514" t="s">
        <v>45</v>
      </c>
      <c r="U4" s="515" t="s">
        <v>45</v>
      </c>
      <c r="V4" s="512">
        <f>I4</f>
        <v>856</v>
      </c>
      <c r="W4" s="511">
        <f>J4</f>
        <v>498</v>
      </c>
      <c r="X4" s="505">
        <f>K4</f>
        <v>358</v>
      </c>
    </row>
    <row r="5" spans="1:25" ht="28" hidden="1">
      <c r="A5" s="267"/>
      <c r="B5" s="267" t="s">
        <v>361</v>
      </c>
      <c r="C5" s="268">
        <v>43</v>
      </c>
      <c r="D5" s="268">
        <v>27</v>
      </c>
      <c r="E5" s="268">
        <v>16</v>
      </c>
      <c r="G5" s="265"/>
      <c r="H5" s="265" t="s">
        <v>361</v>
      </c>
      <c r="I5" s="266">
        <v>10</v>
      </c>
      <c r="J5" s="266">
        <v>8</v>
      </c>
      <c r="K5" s="266">
        <v>2</v>
      </c>
      <c r="N5" s="267"/>
      <c r="O5" s="267" t="s">
        <v>361</v>
      </c>
      <c r="P5" s="269">
        <f>C5/$C$4</f>
        <v>1.5585357013410656E-2</v>
      </c>
      <c r="Q5" s="269">
        <f>D5/$D$4</f>
        <v>1.7464424320827943E-2</v>
      </c>
      <c r="R5" s="269">
        <f>E5/$E$4</f>
        <v>1.3190436933223413E-2</v>
      </c>
      <c r="T5" s="265"/>
      <c r="U5" s="265" t="s">
        <v>361</v>
      </c>
      <c r="V5" s="269">
        <f>I5/$I$4</f>
        <v>1.1682242990654205E-2</v>
      </c>
      <c r="W5" s="269">
        <f>J5/$J$4</f>
        <v>1.6064257028112448E-2</v>
      </c>
      <c r="X5" s="269">
        <f>K5/$K$4</f>
        <v>5.5865921787709499E-3</v>
      </c>
    </row>
    <row r="6" spans="1:25" hidden="1">
      <c r="A6" s="265"/>
      <c r="B6" s="265" t="s">
        <v>362</v>
      </c>
      <c r="C6" s="266">
        <v>50</v>
      </c>
      <c r="D6" s="266">
        <v>26</v>
      </c>
      <c r="E6" s="266">
        <v>24</v>
      </c>
      <c r="G6" s="267"/>
      <c r="H6" s="267" t="s">
        <v>362</v>
      </c>
      <c r="I6" s="268">
        <v>13</v>
      </c>
      <c r="J6" s="268">
        <v>7</v>
      </c>
      <c r="K6" s="268">
        <v>6</v>
      </c>
      <c r="N6" s="265"/>
      <c r="O6" s="265" t="s">
        <v>362</v>
      </c>
      <c r="P6" s="269">
        <f>C6/$C$4</f>
        <v>1.8122508155128669E-2</v>
      </c>
      <c r="Q6" s="269">
        <f t="shared" ref="Q6:Q66" si="0">D6/$D$4</f>
        <v>1.6817593790426907E-2</v>
      </c>
      <c r="R6" s="269">
        <f t="shared" ref="R6:R66" si="1">E6/$E$4</f>
        <v>1.9785655399835119E-2</v>
      </c>
      <c r="T6" s="267"/>
      <c r="U6" s="267" t="s">
        <v>362</v>
      </c>
      <c r="V6" s="269">
        <f>I6/$I$4</f>
        <v>1.5186915887850467E-2</v>
      </c>
      <c r="W6" s="269">
        <f>J6/$J$4</f>
        <v>1.4056224899598393E-2</v>
      </c>
      <c r="X6" s="269">
        <f t="shared" ref="X6:X63" si="2">K6/$K$4</f>
        <v>1.6759776536312849E-2</v>
      </c>
    </row>
    <row r="7" spans="1:25" ht="56" hidden="1">
      <c r="A7" s="267"/>
      <c r="B7" s="267" t="s">
        <v>363</v>
      </c>
      <c r="C7" s="268">
        <v>8</v>
      </c>
      <c r="D7" s="268">
        <v>3</v>
      </c>
      <c r="E7" s="268">
        <v>5</v>
      </c>
      <c r="G7" s="265"/>
      <c r="H7" s="265" t="s">
        <v>363</v>
      </c>
      <c r="I7" s="266">
        <v>7</v>
      </c>
      <c r="J7" s="266">
        <v>2</v>
      </c>
      <c r="K7" s="266">
        <v>5</v>
      </c>
      <c r="N7" s="267"/>
      <c r="O7" s="267" t="s">
        <v>363</v>
      </c>
      <c r="P7" s="269">
        <f t="shared" ref="P7:P66" si="3">C7/$C$4</f>
        <v>2.8996013048205871E-3</v>
      </c>
      <c r="Q7" s="269">
        <f t="shared" si="0"/>
        <v>1.9404915912031048E-3</v>
      </c>
      <c r="R7" s="269">
        <f t="shared" si="1"/>
        <v>4.1220115416323163E-3</v>
      </c>
      <c r="T7" s="265"/>
      <c r="U7" s="265" t="s">
        <v>363</v>
      </c>
      <c r="V7" s="269">
        <f t="shared" ref="V7:V63" si="4">I7/$I$4</f>
        <v>8.1775700934579431E-3</v>
      </c>
      <c r="W7" s="269">
        <f t="shared" ref="W7:W63" si="5">J7/$J$4</f>
        <v>4.0160642570281121E-3</v>
      </c>
      <c r="X7" s="269">
        <f t="shared" si="2"/>
        <v>1.3966480446927373E-2</v>
      </c>
    </row>
    <row r="8" spans="1:25" ht="42" hidden="1">
      <c r="A8" s="265"/>
      <c r="B8" s="265" t="s">
        <v>364</v>
      </c>
      <c r="C8" s="266">
        <v>2</v>
      </c>
      <c r="D8" s="266">
        <v>2</v>
      </c>
      <c r="E8" s="266">
        <v>0</v>
      </c>
      <c r="G8" s="267"/>
      <c r="H8" s="267" t="s">
        <v>364</v>
      </c>
      <c r="I8" s="268">
        <v>1</v>
      </c>
      <c r="J8" s="268">
        <v>1</v>
      </c>
      <c r="K8" s="268">
        <v>0</v>
      </c>
      <c r="N8" s="265"/>
      <c r="O8" s="265" t="s">
        <v>364</v>
      </c>
      <c r="P8" s="269">
        <f t="shared" si="3"/>
        <v>7.2490032620514677E-4</v>
      </c>
      <c r="Q8" s="269">
        <f t="shared" si="0"/>
        <v>1.29366106080207E-3</v>
      </c>
      <c r="R8" s="269">
        <f t="shared" si="1"/>
        <v>0</v>
      </c>
      <c r="T8" s="267"/>
      <c r="U8" s="267" t="s">
        <v>364</v>
      </c>
      <c r="V8" s="269">
        <f t="shared" si="4"/>
        <v>1.1682242990654205E-3</v>
      </c>
      <c r="W8" s="269">
        <f t="shared" si="5"/>
        <v>2.008032128514056E-3</v>
      </c>
      <c r="X8" s="269">
        <f>K8/$K$4</f>
        <v>0</v>
      </c>
    </row>
    <row r="9" spans="1:25" hidden="1">
      <c r="A9" s="267"/>
      <c r="B9" s="267" t="s">
        <v>365</v>
      </c>
      <c r="C9" s="268">
        <v>13</v>
      </c>
      <c r="D9" s="268">
        <v>7</v>
      </c>
      <c r="E9" s="268">
        <v>6</v>
      </c>
      <c r="G9" s="265"/>
      <c r="H9" s="265" t="s">
        <v>365</v>
      </c>
      <c r="I9" s="266">
        <v>4</v>
      </c>
      <c r="J9" s="266">
        <v>2</v>
      </c>
      <c r="K9" s="266">
        <v>2</v>
      </c>
      <c r="N9" s="267"/>
      <c r="O9" s="267" t="s">
        <v>365</v>
      </c>
      <c r="P9" s="269">
        <f t="shared" si="3"/>
        <v>4.711852120333454E-3</v>
      </c>
      <c r="Q9" s="269">
        <f t="shared" si="0"/>
        <v>4.5278137128072441E-3</v>
      </c>
      <c r="R9" s="269">
        <f t="shared" si="1"/>
        <v>4.9464138499587798E-3</v>
      </c>
      <c r="T9" s="265"/>
      <c r="U9" s="265" t="s">
        <v>365</v>
      </c>
      <c r="V9" s="269">
        <f t="shared" si="4"/>
        <v>4.6728971962616819E-3</v>
      </c>
      <c r="W9" s="269">
        <f t="shared" si="5"/>
        <v>4.0160642570281121E-3</v>
      </c>
      <c r="X9" s="269">
        <f t="shared" si="2"/>
        <v>5.5865921787709499E-3</v>
      </c>
    </row>
    <row r="10" spans="1:25" ht="28" hidden="1">
      <c r="A10" s="265"/>
      <c r="B10" s="265" t="s">
        <v>366</v>
      </c>
      <c r="C10" s="266">
        <v>23</v>
      </c>
      <c r="D10" s="266">
        <v>13</v>
      </c>
      <c r="E10" s="266">
        <v>10</v>
      </c>
      <c r="G10" s="267"/>
      <c r="H10" s="267" t="s">
        <v>366</v>
      </c>
      <c r="I10" s="268">
        <v>13</v>
      </c>
      <c r="J10" s="268">
        <v>5</v>
      </c>
      <c r="K10" s="268">
        <v>8</v>
      </c>
      <c r="N10" s="265"/>
      <c r="O10" s="265" t="s">
        <v>366</v>
      </c>
      <c r="P10" s="269">
        <f t="shared" si="3"/>
        <v>8.3363537513591879E-3</v>
      </c>
      <c r="Q10" s="269">
        <f t="shared" si="0"/>
        <v>8.4087968952134533E-3</v>
      </c>
      <c r="R10" s="269">
        <f t="shared" si="1"/>
        <v>8.2440230832646327E-3</v>
      </c>
      <c r="T10" s="267"/>
      <c r="U10" s="267" t="s">
        <v>366</v>
      </c>
      <c r="V10" s="269">
        <f t="shared" si="4"/>
        <v>1.5186915887850467E-2</v>
      </c>
      <c r="W10" s="269">
        <f t="shared" si="5"/>
        <v>1.0040160642570281E-2</v>
      </c>
      <c r="X10" s="269">
        <f>K10/$K$4</f>
        <v>2.23463687150838E-2</v>
      </c>
    </row>
    <row r="11" spans="1:25" ht="28" hidden="1">
      <c r="A11" s="267"/>
      <c r="B11" s="267" t="s">
        <v>367</v>
      </c>
      <c r="C11" s="268">
        <v>41</v>
      </c>
      <c r="D11" s="268">
        <v>26</v>
      </c>
      <c r="E11" s="268">
        <v>15</v>
      </c>
      <c r="G11" s="265"/>
      <c r="H11" s="265" t="s">
        <v>367</v>
      </c>
      <c r="I11" s="266">
        <v>14</v>
      </c>
      <c r="J11" s="266">
        <v>8</v>
      </c>
      <c r="K11" s="266">
        <v>6</v>
      </c>
      <c r="N11" s="267"/>
      <c r="O11" s="267" t="s">
        <v>367</v>
      </c>
      <c r="P11" s="269">
        <f t="shared" si="3"/>
        <v>1.4860456687205509E-2</v>
      </c>
      <c r="Q11" s="269">
        <f t="shared" si="0"/>
        <v>1.6817593790426907E-2</v>
      </c>
      <c r="R11" s="269">
        <f t="shared" si="1"/>
        <v>1.236603462489695E-2</v>
      </c>
      <c r="T11" s="265"/>
      <c r="U11" s="265" t="s">
        <v>367</v>
      </c>
      <c r="V11" s="269">
        <f t="shared" si="4"/>
        <v>1.6355140186915886E-2</v>
      </c>
      <c r="W11" s="269">
        <f t="shared" si="5"/>
        <v>1.6064257028112448E-2</v>
      </c>
      <c r="X11" s="269">
        <f t="shared" si="2"/>
        <v>1.6759776536312849E-2</v>
      </c>
    </row>
    <row r="12" spans="1:25" ht="30" customHeight="1">
      <c r="A12" s="402" t="s">
        <v>423</v>
      </c>
      <c r="B12" s="281" t="s">
        <v>368</v>
      </c>
      <c r="C12" s="284">
        <v>187</v>
      </c>
      <c r="D12" s="284">
        <v>99</v>
      </c>
      <c r="E12" s="284">
        <v>88</v>
      </c>
      <c r="G12" s="405" t="s">
        <v>91</v>
      </c>
      <c r="H12" s="291" t="s">
        <v>368</v>
      </c>
      <c r="I12" s="284">
        <v>61</v>
      </c>
      <c r="J12" s="284">
        <v>29</v>
      </c>
      <c r="K12" s="284">
        <v>32</v>
      </c>
      <c r="O12" s="320" t="s">
        <v>368</v>
      </c>
      <c r="P12" s="295">
        <f t="shared" si="3"/>
        <v>6.7778180500181223E-2</v>
      </c>
      <c r="Q12" s="295">
        <f t="shared" si="0"/>
        <v>6.4036222509702465E-2</v>
      </c>
      <c r="R12" s="322">
        <f t="shared" si="1"/>
        <v>7.2547403132728769E-2</v>
      </c>
      <c r="S12" s="121"/>
      <c r="T12" s="313"/>
      <c r="U12" s="513" t="s">
        <v>368</v>
      </c>
      <c r="V12" s="3">
        <f t="shared" si="4"/>
        <v>7.1261682242990648E-2</v>
      </c>
      <c r="W12" s="3">
        <f t="shared" si="5"/>
        <v>5.8232931726907633E-2</v>
      </c>
      <c r="X12" s="234">
        <f t="shared" si="2"/>
        <v>8.9385474860335198E-2</v>
      </c>
      <c r="Y12" s="121"/>
    </row>
    <row r="13" spans="1:25" ht="84" hidden="1" customHeight="1">
      <c r="A13" s="403"/>
      <c r="B13" s="267" t="s">
        <v>369</v>
      </c>
      <c r="C13" s="268">
        <v>23</v>
      </c>
      <c r="D13" s="268">
        <v>10</v>
      </c>
      <c r="E13" s="268">
        <v>13</v>
      </c>
      <c r="G13" s="403"/>
      <c r="H13" s="265" t="s">
        <v>369</v>
      </c>
      <c r="I13" s="266">
        <v>9</v>
      </c>
      <c r="J13" s="266">
        <v>5</v>
      </c>
      <c r="K13" s="266">
        <v>4</v>
      </c>
      <c r="O13" s="267" t="s">
        <v>369</v>
      </c>
      <c r="P13" s="269">
        <f t="shared" si="3"/>
        <v>8.3363537513591879E-3</v>
      </c>
      <c r="Q13" s="269">
        <f t="shared" si="0"/>
        <v>6.4683053040103496E-3</v>
      </c>
      <c r="R13" s="269">
        <f t="shared" si="1"/>
        <v>1.0717230008244023E-2</v>
      </c>
      <c r="U13" s="265" t="s">
        <v>369</v>
      </c>
      <c r="V13" s="269">
        <f t="shared" si="4"/>
        <v>1.0514018691588784E-2</v>
      </c>
      <c r="W13" s="269">
        <f t="shared" si="5"/>
        <v>1.0040160642570281E-2</v>
      </c>
      <c r="X13" s="269">
        <f t="shared" si="2"/>
        <v>1.11731843575419E-2</v>
      </c>
    </row>
    <row r="14" spans="1:25" ht="42" hidden="1" customHeight="1">
      <c r="A14" s="403"/>
      <c r="B14" s="265" t="s">
        <v>370</v>
      </c>
      <c r="C14" s="266">
        <v>26</v>
      </c>
      <c r="D14" s="266">
        <v>19</v>
      </c>
      <c r="E14" s="266">
        <v>7</v>
      </c>
      <c r="G14" s="403"/>
      <c r="H14" s="267" t="s">
        <v>370</v>
      </c>
      <c r="I14" s="268">
        <v>8</v>
      </c>
      <c r="J14" s="268">
        <v>4</v>
      </c>
      <c r="K14" s="268">
        <v>4</v>
      </c>
      <c r="O14" s="265" t="s">
        <v>370</v>
      </c>
      <c r="P14" s="269">
        <f t="shared" si="3"/>
        <v>9.423704240666908E-3</v>
      </c>
      <c r="Q14" s="269">
        <f t="shared" si="0"/>
        <v>1.2289780077619664E-2</v>
      </c>
      <c r="R14" s="269">
        <f t="shared" si="1"/>
        <v>5.7708161582852432E-3</v>
      </c>
      <c r="U14" s="267" t="s">
        <v>370</v>
      </c>
      <c r="V14" s="269">
        <f t="shared" si="4"/>
        <v>9.3457943925233638E-3</v>
      </c>
      <c r="W14" s="269">
        <f t="shared" si="5"/>
        <v>8.0321285140562242E-3</v>
      </c>
      <c r="X14" s="269">
        <f t="shared" si="2"/>
        <v>1.11731843575419E-2</v>
      </c>
    </row>
    <row r="15" spans="1:25" ht="84" hidden="1" customHeight="1">
      <c r="A15" s="403"/>
      <c r="B15" s="267" t="s">
        <v>371</v>
      </c>
      <c r="C15" s="268">
        <v>14</v>
      </c>
      <c r="D15" s="268">
        <v>9</v>
      </c>
      <c r="E15" s="268">
        <v>5</v>
      </c>
      <c r="G15" s="403"/>
      <c r="H15" s="265" t="s">
        <v>371</v>
      </c>
      <c r="I15" s="266">
        <v>3</v>
      </c>
      <c r="J15" s="266">
        <v>2</v>
      </c>
      <c r="K15" s="266">
        <v>1</v>
      </c>
      <c r="O15" s="267" t="s">
        <v>371</v>
      </c>
      <c r="P15" s="269">
        <f t="shared" si="3"/>
        <v>5.0743022834360274E-3</v>
      </c>
      <c r="Q15" s="269">
        <f t="shared" si="0"/>
        <v>5.8214747736093147E-3</v>
      </c>
      <c r="R15" s="269">
        <f t="shared" si="1"/>
        <v>4.1220115416323163E-3</v>
      </c>
      <c r="U15" s="265" t="s">
        <v>371</v>
      </c>
      <c r="V15" s="269">
        <f t="shared" si="4"/>
        <v>3.5046728971962616E-3</v>
      </c>
      <c r="W15" s="269">
        <f t="shared" si="5"/>
        <v>4.0160642570281121E-3</v>
      </c>
      <c r="X15" s="269">
        <f t="shared" si="2"/>
        <v>2.7932960893854749E-3</v>
      </c>
    </row>
    <row r="16" spans="1:25" ht="126" hidden="1" customHeight="1">
      <c r="A16" s="403"/>
      <c r="B16" s="265" t="s">
        <v>372</v>
      </c>
      <c r="C16" s="266">
        <v>52</v>
      </c>
      <c r="D16" s="266">
        <v>23</v>
      </c>
      <c r="E16" s="266">
        <v>29</v>
      </c>
      <c r="G16" s="403"/>
      <c r="H16" s="267" t="s">
        <v>372</v>
      </c>
      <c r="I16" s="268">
        <v>21</v>
      </c>
      <c r="J16" s="268">
        <v>10</v>
      </c>
      <c r="K16" s="268">
        <v>11</v>
      </c>
      <c r="O16" s="265" t="s">
        <v>372</v>
      </c>
      <c r="P16" s="269">
        <f t="shared" si="3"/>
        <v>1.8847408481333816E-2</v>
      </c>
      <c r="Q16" s="269">
        <f t="shared" si="0"/>
        <v>1.4877102199223804E-2</v>
      </c>
      <c r="R16" s="269">
        <f t="shared" si="1"/>
        <v>2.3907666941467436E-2</v>
      </c>
      <c r="U16" s="267" t="s">
        <v>372</v>
      </c>
      <c r="V16" s="269">
        <f t="shared" si="4"/>
        <v>2.4532710280373831E-2</v>
      </c>
      <c r="W16" s="269">
        <f t="shared" si="5"/>
        <v>2.0080321285140562E-2</v>
      </c>
      <c r="X16" s="269">
        <f t="shared" si="2"/>
        <v>3.0726256983240222E-2</v>
      </c>
    </row>
    <row r="17" spans="1:25" ht="84" hidden="1" customHeight="1">
      <c r="A17" s="403"/>
      <c r="B17" s="267" t="s">
        <v>373</v>
      </c>
      <c r="C17" s="268">
        <v>48</v>
      </c>
      <c r="D17" s="268">
        <v>26</v>
      </c>
      <c r="E17" s="268">
        <v>22</v>
      </c>
      <c r="G17" s="403"/>
      <c r="H17" s="265" t="s">
        <v>373</v>
      </c>
      <c r="I17" s="266">
        <v>16</v>
      </c>
      <c r="J17" s="266">
        <v>8</v>
      </c>
      <c r="K17" s="266">
        <v>8</v>
      </c>
      <c r="O17" s="267" t="s">
        <v>373</v>
      </c>
      <c r="P17" s="269">
        <f t="shared" si="3"/>
        <v>1.7397607828923523E-2</v>
      </c>
      <c r="Q17" s="269">
        <f t="shared" si="0"/>
        <v>1.6817593790426907E-2</v>
      </c>
      <c r="R17" s="269">
        <f t="shared" si="1"/>
        <v>1.8136850783182192E-2</v>
      </c>
      <c r="U17" s="265" t="s">
        <v>373</v>
      </c>
      <c r="V17" s="269">
        <f t="shared" si="4"/>
        <v>1.8691588785046728E-2</v>
      </c>
      <c r="W17" s="269">
        <f t="shared" si="5"/>
        <v>1.6064257028112448E-2</v>
      </c>
      <c r="X17" s="269">
        <f t="shared" si="2"/>
        <v>2.23463687150838E-2</v>
      </c>
    </row>
    <row r="18" spans="1:25" ht="140" hidden="1" customHeight="1">
      <c r="A18" s="403"/>
      <c r="B18" s="265" t="s">
        <v>374</v>
      </c>
      <c r="C18" s="266">
        <v>6</v>
      </c>
      <c r="D18" s="266">
        <v>4</v>
      </c>
      <c r="E18" s="266">
        <v>2</v>
      </c>
      <c r="G18" s="403"/>
      <c r="H18" s="267" t="s">
        <v>374</v>
      </c>
      <c r="I18" s="268">
        <v>2</v>
      </c>
      <c r="J18" s="268">
        <v>2</v>
      </c>
      <c r="K18" s="268">
        <v>0</v>
      </c>
      <c r="O18" s="265" t="s">
        <v>374</v>
      </c>
      <c r="P18" s="269">
        <f t="shared" si="3"/>
        <v>2.1747009786154403E-3</v>
      </c>
      <c r="Q18" s="269">
        <f t="shared" si="0"/>
        <v>2.5873221216041399E-3</v>
      </c>
      <c r="R18" s="269">
        <f t="shared" si="1"/>
        <v>1.6488046166529267E-3</v>
      </c>
      <c r="U18" s="267" t="s">
        <v>374</v>
      </c>
      <c r="V18" s="269">
        <f t="shared" si="4"/>
        <v>2.3364485981308409E-3</v>
      </c>
      <c r="W18" s="269">
        <f t="shared" si="5"/>
        <v>4.0160642570281121E-3</v>
      </c>
      <c r="X18" s="269">
        <f t="shared" si="2"/>
        <v>0</v>
      </c>
    </row>
    <row r="19" spans="1:25" ht="56" hidden="1" customHeight="1">
      <c r="A19" s="403"/>
      <c r="B19" s="267" t="s">
        <v>375</v>
      </c>
      <c r="C19" s="268">
        <v>34</v>
      </c>
      <c r="D19" s="268">
        <v>0</v>
      </c>
      <c r="E19" s="268">
        <v>34</v>
      </c>
      <c r="G19" s="403"/>
      <c r="H19" s="265" t="s">
        <v>375</v>
      </c>
      <c r="I19" s="266">
        <v>10</v>
      </c>
      <c r="J19" s="266">
        <v>0</v>
      </c>
      <c r="K19" s="266">
        <v>10</v>
      </c>
      <c r="O19" s="267" t="s">
        <v>375</v>
      </c>
      <c r="P19" s="269">
        <f t="shared" si="3"/>
        <v>1.2323305545487495E-2</v>
      </c>
      <c r="Q19" s="269">
        <f t="shared" si="0"/>
        <v>0</v>
      </c>
      <c r="R19" s="269">
        <f t="shared" si="1"/>
        <v>2.8029678483099753E-2</v>
      </c>
      <c r="U19" s="265" t="s">
        <v>375</v>
      </c>
      <c r="V19" s="269">
        <f t="shared" si="4"/>
        <v>1.1682242990654205E-2</v>
      </c>
      <c r="W19" s="269">
        <f t="shared" si="5"/>
        <v>0</v>
      </c>
      <c r="X19" s="269">
        <f t="shared" si="2"/>
        <v>2.7932960893854747E-2</v>
      </c>
    </row>
    <row r="20" spans="1:25" ht="56" hidden="1" customHeight="1">
      <c r="A20" s="403"/>
      <c r="B20" s="265" t="s">
        <v>376</v>
      </c>
      <c r="C20" s="266">
        <v>30</v>
      </c>
      <c r="D20" s="266">
        <v>0</v>
      </c>
      <c r="E20" s="266">
        <v>30</v>
      </c>
      <c r="G20" s="403"/>
      <c r="H20" s="267" t="s">
        <v>376</v>
      </c>
      <c r="I20" s="268">
        <v>9</v>
      </c>
      <c r="J20" s="268">
        <v>0</v>
      </c>
      <c r="K20" s="268">
        <v>9</v>
      </c>
      <c r="O20" s="265" t="s">
        <v>376</v>
      </c>
      <c r="P20" s="269">
        <f t="shared" si="3"/>
        <v>1.0873504893077202E-2</v>
      </c>
      <c r="Q20" s="269">
        <f t="shared" si="0"/>
        <v>0</v>
      </c>
      <c r="R20" s="269">
        <f t="shared" si="1"/>
        <v>2.47320692497939E-2</v>
      </c>
      <c r="U20" s="267" t="s">
        <v>376</v>
      </c>
      <c r="V20" s="269">
        <f t="shared" si="4"/>
        <v>1.0514018691588784E-2</v>
      </c>
      <c r="W20" s="269">
        <f t="shared" si="5"/>
        <v>0</v>
      </c>
      <c r="X20" s="269">
        <f t="shared" si="2"/>
        <v>2.5139664804469275E-2</v>
      </c>
    </row>
    <row r="21" spans="1:25" ht="70" hidden="1" customHeight="1">
      <c r="A21" s="403"/>
      <c r="B21" s="267" t="s">
        <v>377</v>
      </c>
      <c r="C21" s="268">
        <v>2</v>
      </c>
      <c r="D21" s="268">
        <v>0</v>
      </c>
      <c r="E21" s="268">
        <v>2</v>
      </c>
      <c r="G21" s="403"/>
      <c r="H21" s="265" t="s">
        <v>377</v>
      </c>
      <c r="I21" s="266">
        <v>1</v>
      </c>
      <c r="J21" s="266">
        <v>0</v>
      </c>
      <c r="K21" s="266">
        <v>1</v>
      </c>
      <c r="O21" s="267" t="s">
        <v>377</v>
      </c>
      <c r="P21" s="269">
        <f t="shared" si="3"/>
        <v>7.2490032620514677E-4</v>
      </c>
      <c r="Q21" s="269">
        <f t="shared" si="0"/>
        <v>0</v>
      </c>
      <c r="R21" s="269">
        <f t="shared" si="1"/>
        <v>1.6488046166529267E-3</v>
      </c>
      <c r="U21" s="265" t="s">
        <v>377</v>
      </c>
      <c r="V21" s="269">
        <f t="shared" si="4"/>
        <v>1.1682242990654205E-3</v>
      </c>
      <c r="W21" s="269">
        <f t="shared" si="5"/>
        <v>0</v>
      </c>
      <c r="X21" s="269">
        <f t="shared" si="2"/>
        <v>2.7932960893854749E-3</v>
      </c>
    </row>
    <row r="22" spans="1:25" ht="42" hidden="1" customHeight="1">
      <c r="A22" s="403"/>
      <c r="B22" s="265" t="s">
        <v>378</v>
      </c>
      <c r="C22" s="266">
        <v>47</v>
      </c>
      <c r="D22" s="266">
        <v>47</v>
      </c>
      <c r="E22" s="266">
        <v>0</v>
      </c>
      <c r="G22" s="403"/>
      <c r="H22" s="267" t="s">
        <v>378</v>
      </c>
      <c r="I22" s="268">
        <v>13</v>
      </c>
      <c r="J22" s="268">
        <v>13</v>
      </c>
      <c r="K22" s="268">
        <v>0</v>
      </c>
      <c r="O22" s="265" t="s">
        <v>378</v>
      </c>
      <c r="P22" s="269">
        <f t="shared" si="3"/>
        <v>1.7035157665820949E-2</v>
      </c>
      <c r="Q22" s="269">
        <f t="shared" si="0"/>
        <v>3.0401034928848641E-2</v>
      </c>
      <c r="R22" s="269">
        <f t="shared" si="1"/>
        <v>0</v>
      </c>
      <c r="U22" s="267" t="s">
        <v>378</v>
      </c>
      <c r="V22" s="269">
        <f t="shared" si="4"/>
        <v>1.5186915887850467E-2</v>
      </c>
      <c r="W22" s="269">
        <f t="shared" si="5"/>
        <v>2.6104417670682729E-2</v>
      </c>
      <c r="X22" s="269">
        <f t="shared" si="2"/>
        <v>0</v>
      </c>
    </row>
    <row r="23" spans="1:25" ht="84" hidden="1" customHeight="1">
      <c r="A23" s="403"/>
      <c r="B23" s="267" t="s">
        <v>379</v>
      </c>
      <c r="C23" s="268">
        <v>13</v>
      </c>
      <c r="D23" s="268">
        <v>3</v>
      </c>
      <c r="E23" s="268">
        <v>10</v>
      </c>
      <c r="G23" s="403"/>
      <c r="H23" s="265" t="s">
        <v>379</v>
      </c>
      <c r="I23" s="266">
        <v>4</v>
      </c>
      <c r="J23" s="266">
        <v>0</v>
      </c>
      <c r="K23" s="266">
        <v>4</v>
      </c>
      <c r="O23" s="267" t="s">
        <v>379</v>
      </c>
      <c r="P23" s="269">
        <f t="shared" si="3"/>
        <v>4.711852120333454E-3</v>
      </c>
      <c r="Q23" s="269">
        <f t="shared" si="0"/>
        <v>1.9404915912031048E-3</v>
      </c>
      <c r="R23" s="269">
        <f t="shared" si="1"/>
        <v>8.2440230832646327E-3</v>
      </c>
      <c r="U23" s="265" t="s">
        <v>379</v>
      </c>
      <c r="V23" s="269">
        <f t="shared" si="4"/>
        <v>4.6728971962616819E-3</v>
      </c>
      <c r="W23" s="269">
        <f t="shared" si="5"/>
        <v>0</v>
      </c>
      <c r="X23" s="269">
        <f t="shared" si="2"/>
        <v>1.11731843575419E-2</v>
      </c>
    </row>
    <row r="24" spans="1:25" ht="28" hidden="1" customHeight="1">
      <c r="A24" s="403"/>
      <c r="B24" s="265" t="s">
        <v>380</v>
      </c>
      <c r="C24" s="266">
        <v>19</v>
      </c>
      <c r="D24" s="266">
        <v>9</v>
      </c>
      <c r="E24" s="266">
        <v>10</v>
      </c>
      <c r="G24" s="403"/>
      <c r="H24" s="267" t="s">
        <v>380</v>
      </c>
      <c r="I24" s="268">
        <v>7</v>
      </c>
      <c r="J24" s="268">
        <v>4</v>
      </c>
      <c r="K24" s="268">
        <v>3</v>
      </c>
      <c r="O24" s="265" t="s">
        <v>380</v>
      </c>
      <c r="P24" s="269">
        <f t="shared" si="3"/>
        <v>6.8865530989488943E-3</v>
      </c>
      <c r="Q24" s="269">
        <f t="shared" si="0"/>
        <v>5.8214747736093147E-3</v>
      </c>
      <c r="R24" s="269">
        <f t="shared" si="1"/>
        <v>8.2440230832646327E-3</v>
      </c>
      <c r="U24" s="267" t="s">
        <v>380</v>
      </c>
      <c r="V24" s="269">
        <f t="shared" si="4"/>
        <v>8.1775700934579431E-3</v>
      </c>
      <c r="W24" s="269">
        <f t="shared" si="5"/>
        <v>8.0321285140562242E-3</v>
      </c>
      <c r="X24" s="269">
        <f t="shared" si="2"/>
        <v>8.3798882681564244E-3</v>
      </c>
    </row>
    <row r="25" spans="1:25" ht="140" hidden="1" customHeight="1">
      <c r="A25" s="403"/>
      <c r="B25" s="267" t="s">
        <v>381</v>
      </c>
      <c r="C25" s="268">
        <v>19</v>
      </c>
      <c r="D25" s="268">
        <v>8</v>
      </c>
      <c r="E25" s="268">
        <v>11</v>
      </c>
      <c r="G25" s="403"/>
      <c r="H25" s="265" t="s">
        <v>381</v>
      </c>
      <c r="I25" s="266">
        <v>8</v>
      </c>
      <c r="J25" s="266">
        <v>4</v>
      </c>
      <c r="K25" s="266">
        <v>4</v>
      </c>
      <c r="O25" s="267" t="s">
        <v>381</v>
      </c>
      <c r="P25" s="269">
        <f t="shared" si="3"/>
        <v>6.8865530989488943E-3</v>
      </c>
      <c r="Q25" s="269">
        <f t="shared" si="0"/>
        <v>5.1746442432082798E-3</v>
      </c>
      <c r="R25" s="269">
        <f t="shared" si="1"/>
        <v>9.0684253915910961E-3</v>
      </c>
      <c r="U25" s="265" t="s">
        <v>381</v>
      </c>
      <c r="V25" s="269">
        <f t="shared" si="4"/>
        <v>9.3457943925233638E-3</v>
      </c>
      <c r="W25" s="269">
        <f t="shared" si="5"/>
        <v>8.0321285140562242E-3</v>
      </c>
      <c r="X25" s="269">
        <f t="shared" si="2"/>
        <v>1.11731843575419E-2</v>
      </c>
    </row>
    <row r="26" spans="1:25" ht="98" hidden="1" customHeight="1">
      <c r="A26" s="403"/>
      <c r="B26" s="265" t="s">
        <v>382</v>
      </c>
      <c r="C26" s="266">
        <v>59</v>
      </c>
      <c r="D26" s="266">
        <v>23</v>
      </c>
      <c r="E26" s="266">
        <v>36</v>
      </c>
      <c r="G26" s="403"/>
      <c r="H26" s="267" t="s">
        <v>382</v>
      </c>
      <c r="I26" s="268">
        <v>19</v>
      </c>
      <c r="J26" s="268">
        <v>10</v>
      </c>
      <c r="K26" s="268">
        <v>9</v>
      </c>
      <c r="O26" s="265" t="s">
        <v>382</v>
      </c>
      <c r="P26" s="269">
        <f t="shared" si="3"/>
        <v>2.138455962305183E-2</v>
      </c>
      <c r="Q26" s="269">
        <f t="shared" si="0"/>
        <v>1.4877102199223804E-2</v>
      </c>
      <c r="R26" s="269">
        <f t="shared" si="1"/>
        <v>2.967848309975268E-2</v>
      </c>
      <c r="U26" s="267" t="s">
        <v>382</v>
      </c>
      <c r="V26" s="269">
        <f t="shared" si="4"/>
        <v>2.219626168224299E-2</v>
      </c>
      <c r="W26" s="269">
        <f t="shared" si="5"/>
        <v>2.0080321285140562E-2</v>
      </c>
      <c r="X26" s="269">
        <f t="shared" si="2"/>
        <v>2.5139664804469275E-2</v>
      </c>
    </row>
    <row r="27" spans="1:25" ht="112" hidden="1" customHeight="1">
      <c r="A27" s="403"/>
      <c r="B27" s="267" t="s">
        <v>383</v>
      </c>
      <c r="C27" s="268">
        <v>42</v>
      </c>
      <c r="D27" s="268">
        <v>19</v>
      </c>
      <c r="E27" s="268">
        <v>23</v>
      </c>
      <c r="G27" s="403"/>
      <c r="H27" s="265" t="s">
        <v>383</v>
      </c>
      <c r="I27" s="266">
        <v>10</v>
      </c>
      <c r="J27" s="266">
        <v>3</v>
      </c>
      <c r="K27" s="266">
        <v>7</v>
      </c>
      <c r="O27" s="267" t="s">
        <v>383</v>
      </c>
      <c r="P27" s="269">
        <f t="shared" si="3"/>
        <v>1.5222906850308082E-2</v>
      </c>
      <c r="Q27" s="269">
        <f t="shared" si="0"/>
        <v>1.2289780077619664E-2</v>
      </c>
      <c r="R27" s="269">
        <f t="shared" si="1"/>
        <v>1.8961253091508656E-2</v>
      </c>
      <c r="U27" s="265" t="s">
        <v>383</v>
      </c>
      <c r="V27" s="269">
        <f t="shared" si="4"/>
        <v>1.1682242990654205E-2</v>
      </c>
      <c r="W27" s="269">
        <f t="shared" si="5"/>
        <v>6.024096385542169E-3</v>
      </c>
      <c r="X27" s="269">
        <f t="shared" si="2"/>
        <v>1.9553072625698324E-2</v>
      </c>
    </row>
    <row r="28" spans="1:25" ht="70" hidden="1" customHeight="1">
      <c r="A28" s="403"/>
      <c r="B28" s="265" t="s">
        <v>384</v>
      </c>
      <c r="C28" s="266">
        <v>90</v>
      </c>
      <c r="D28" s="266">
        <v>44</v>
      </c>
      <c r="E28" s="266">
        <v>46</v>
      </c>
      <c r="G28" s="403"/>
      <c r="H28" s="267" t="s">
        <v>384</v>
      </c>
      <c r="I28" s="268">
        <v>27</v>
      </c>
      <c r="J28" s="268">
        <v>18</v>
      </c>
      <c r="K28" s="268">
        <v>9</v>
      </c>
      <c r="O28" s="265" t="s">
        <v>384</v>
      </c>
      <c r="P28" s="269">
        <f t="shared" si="3"/>
        <v>3.2620514679231605E-2</v>
      </c>
      <c r="Q28" s="269">
        <f t="shared" si="0"/>
        <v>2.8460543337645538E-2</v>
      </c>
      <c r="R28" s="269">
        <f t="shared" si="1"/>
        <v>3.7922506183017311E-2</v>
      </c>
      <c r="U28" s="267" t="s">
        <v>384</v>
      </c>
      <c r="V28" s="269">
        <f t="shared" si="4"/>
        <v>3.1542056074766352E-2</v>
      </c>
      <c r="W28" s="269">
        <f t="shared" si="5"/>
        <v>3.614457831325301E-2</v>
      </c>
      <c r="X28" s="269">
        <f t="shared" si="2"/>
        <v>2.5139664804469275E-2</v>
      </c>
    </row>
    <row r="29" spans="1:25" ht="31" customHeight="1">
      <c r="A29" s="403"/>
      <c r="B29" s="282" t="s">
        <v>385</v>
      </c>
      <c r="C29" s="283">
        <v>245</v>
      </c>
      <c r="D29" s="283">
        <v>128</v>
      </c>
      <c r="E29" s="283">
        <v>117</v>
      </c>
      <c r="G29" s="405"/>
      <c r="H29" s="294" t="s">
        <v>385</v>
      </c>
      <c r="I29" s="283">
        <v>79</v>
      </c>
      <c r="J29" s="283">
        <v>41</v>
      </c>
      <c r="K29" s="283">
        <v>38</v>
      </c>
      <c r="N29" s="122"/>
      <c r="O29" s="291" t="s">
        <v>385</v>
      </c>
      <c r="P29" s="295">
        <f t="shared" si="3"/>
        <v>8.880028996013048E-2</v>
      </c>
      <c r="Q29" s="295">
        <f t="shared" si="0"/>
        <v>8.2794307891332478E-2</v>
      </c>
      <c r="R29" s="322">
        <f t="shared" si="1"/>
        <v>9.6455070074196209E-2</v>
      </c>
      <c r="S29" s="121"/>
      <c r="U29" s="320" t="s">
        <v>385</v>
      </c>
      <c r="V29" s="3">
        <f t="shared" si="4"/>
        <v>9.2289719626168221E-2</v>
      </c>
      <c r="W29" s="3">
        <f t="shared" si="5"/>
        <v>8.2329317269076302E-2</v>
      </c>
      <c r="X29" s="234">
        <f t="shared" si="2"/>
        <v>0.10614525139664804</v>
      </c>
      <c r="Y29" s="121"/>
    </row>
    <row r="30" spans="1:25" ht="168" hidden="1" customHeight="1">
      <c r="A30" s="403"/>
      <c r="B30" s="265" t="s">
        <v>386</v>
      </c>
      <c r="C30" s="266">
        <v>41</v>
      </c>
      <c r="D30" s="266">
        <v>24</v>
      </c>
      <c r="E30" s="266">
        <v>17</v>
      </c>
      <c r="G30" s="403"/>
      <c r="H30" s="267" t="s">
        <v>386</v>
      </c>
      <c r="I30" s="268">
        <v>14</v>
      </c>
      <c r="J30" s="268">
        <v>9</v>
      </c>
      <c r="K30" s="268">
        <v>5</v>
      </c>
      <c r="O30" s="265" t="s">
        <v>386</v>
      </c>
      <c r="P30" s="269">
        <f t="shared" si="3"/>
        <v>1.4860456687205509E-2</v>
      </c>
      <c r="Q30" s="269">
        <f t="shared" si="0"/>
        <v>1.5523932729624839E-2</v>
      </c>
      <c r="R30" s="269">
        <f t="shared" si="1"/>
        <v>1.4014839241549877E-2</v>
      </c>
      <c r="U30" s="267" t="s">
        <v>386</v>
      </c>
      <c r="V30" s="269">
        <f t="shared" si="4"/>
        <v>1.6355140186915886E-2</v>
      </c>
      <c r="W30" s="269">
        <f t="shared" si="5"/>
        <v>1.8072289156626505E-2</v>
      </c>
      <c r="X30" s="269">
        <f t="shared" si="2"/>
        <v>1.3966480446927373E-2</v>
      </c>
    </row>
    <row r="31" spans="1:25" ht="42" hidden="1" customHeight="1">
      <c r="A31" s="403"/>
      <c r="B31" s="267" t="s">
        <v>387</v>
      </c>
      <c r="C31" s="268">
        <v>26</v>
      </c>
      <c r="D31" s="268">
        <v>12</v>
      </c>
      <c r="E31" s="268">
        <v>14</v>
      </c>
      <c r="G31" s="403"/>
      <c r="H31" s="265" t="s">
        <v>387</v>
      </c>
      <c r="I31" s="266">
        <v>9</v>
      </c>
      <c r="J31" s="266">
        <v>4</v>
      </c>
      <c r="K31" s="266">
        <v>5</v>
      </c>
      <c r="O31" s="267" t="s">
        <v>387</v>
      </c>
      <c r="P31" s="269">
        <f t="shared" si="3"/>
        <v>9.423704240666908E-3</v>
      </c>
      <c r="Q31" s="269">
        <f t="shared" si="0"/>
        <v>7.7619663648124193E-3</v>
      </c>
      <c r="R31" s="269">
        <f t="shared" si="1"/>
        <v>1.1541632316570486E-2</v>
      </c>
      <c r="U31" s="265" t="s">
        <v>387</v>
      </c>
      <c r="V31" s="269">
        <f t="shared" si="4"/>
        <v>1.0514018691588784E-2</v>
      </c>
      <c r="W31" s="269">
        <f t="shared" si="5"/>
        <v>8.0321285140562242E-3</v>
      </c>
      <c r="X31" s="269">
        <f t="shared" si="2"/>
        <v>1.3966480446927373E-2</v>
      </c>
    </row>
    <row r="32" spans="1:25" ht="30" customHeight="1">
      <c r="A32" s="403"/>
      <c r="B32" s="281" t="s">
        <v>388</v>
      </c>
      <c r="C32" s="284">
        <v>149</v>
      </c>
      <c r="D32" s="284">
        <v>73</v>
      </c>
      <c r="E32" s="284">
        <v>76</v>
      </c>
      <c r="G32" s="405"/>
      <c r="H32" s="291" t="s">
        <v>388</v>
      </c>
      <c r="I32" s="284">
        <v>46</v>
      </c>
      <c r="J32" s="284">
        <v>21</v>
      </c>
      <c r="K32" s="284">
        <v>25</v>
      </c>
      <c r="O32" s="320" t="s">
        <v>388</v>
      </c>
      <c r="P32" s="295">
        <f t="shared" si="3"/>
        <v>5.4005074302283435E-2</v>
      </c>
      <c r="Q32" s="295">
        <f t="shared" si="0"/>
        <v>4.7218628719275547E-2</v>
      </c>
      <c r="R32" s="322">
        <f t="shared" si="1"/>
        <v>6.2654575432811208E-2</v>
      </c>
      <c r="S32" s="121"/>
      <c r="U32" s="320" t="s">
        <v>388</v>
      </c>
      <c r="V32" s="3">
        <f t="shared" si="4"/>
        <v>5.3738317757009345E-2</v>
      </c>
      <c r="W32" s="3">
        <f t="shared" si="5"/>
        <v>4.2168674698795178E-2</v>
      </c>
      <c r="X32" s="234">
        <f t="shared" si="2"/>
        <v>6.9832402234636867E-2</v>
      </c>
      <c r="Y32" s="121"/>
    </row>
    <row r="33" spans="1:25" ht="84" hidden="1" customHeight="1">
      <c r="A33" s="403"/>
      <c r="B33" s="267" t="s">
        <v>389</v>
      </c>
      <c r="C33" s="268">
        <v>15</v>
      </c>
      <c r="D33" s="268">
        <v>9</v>
      </c>
      <c r="E33" s="268">
        <v>6</v>
      </c>
      <c r="G33" s="403"/>
      <c r="H33" s="265" t="s">
        <v>389</v>
      </c>
      <c r="I33" s="266">
        <v>1</v>
      </c>
      <c r="J33" s="266">
        <v>1</v>
      </c>
      <c r="K33" s="266">
        <v>0</v>
      </c>
      <c r="O33" s="267" t="s">
        <v>389</v>
      </c>
      <c r="P33" s="269">
        <f t="shared" si="3"/>
        <v>5.4367524465386008E-3</v>
      </c>
      <c r="Q33" s="269">
        <f t="shared" si="0"/>
        <v>5.8214747736093147E-3</v>
      </c>
      <c r="R33" s="269">
        <f t="shared" si="1"/>
        <v>4.9464138499587798E-3</v>
      </c>
      <c r="U33" s="265" t="s">
        <v>389</v>
      </c>
      <c r="V33" s="269">
        <f t="shared" si="4"/>
        <v>1.1682242990654205E-3</v>
      </c>
      <c r="W33" s="269">
        <f t="shared" si="5"/>
        <v>2.008032128514056E-3</v>
      </c>
      <c r="X33" s="269">
        <f t="shared" si="2"/>
        <v>0</v>
      </c>
    </row>
    <row r="34" spans="1:25" ht="98" hidden="1" customHeight="1">
      <c r="A34" s="403"/>
      <c r="B34" s="265" t="s">
        <v>390</v>
      </c>
      <c r="C34" s="266">
        <v>2</v>
      </c>
      <c r="D34" s="266">
        <v>1</v>
      </c>
      <c r="E34" s="266">
        <v>1</v>
      </c>
      <c r="G34" s="403"/>
      <c r="H34" s="267" t="s">
        <v>390</v>
      </c>
      <c r="I34" s="268">
        <v>2</v>
      </c>
      <c r="J34" s="268">
        <v>1</v>
      </c>
      <c r="K34" s="268">
        <v>1</v>
      </c>
      <c r="O34" s="265" t="s">
        <v>390</v>
      </c>
      <c r="P34" s="269">
        <f t="shared" si="3"/>
        <v>7.2490032620514677E-4</v>
      </c>
      <c r="Q34" s="269">
        <f t="shared" si="0"/>
        <v>6.4683053040103498E-4</v>
      </c>
      <c r="R34" s="269">
        <f t="shared" si="1"/>
        <v>8.2440230832646333E-4</v>
      </c>
      <c r="U34" s="267" t="s">
        <v>390</v>
      </c>
      <c r="V34" s="269">
        <f t="shared" si="4"/>
        <v>2.3364485981308409E-3</v>
      </c>
      <c r="W34" s="269">
        <f t="shared" si="5"/>
        <v>2.008032128514056E-3</v>
      </c>
      <c r="X34" s="269">
        <f t="shared" si="2"/>
        <v>2.7932960893854749E-3</v>
      </c>
    </row>
    <row r="35" spans="1:25" ht="154" hidden="1" customHeight="1">
      <c r="A35" s="403"/>
      <c r="B35" s="267" t="s">
        <v>391</v>
      </c>
      <c r="C35" s="268">
        <v>5</v>
      </c>
      <c r="D35" s="268">
        <v>2</v>
      </c>
      <c r="E35" s="268">
        <v>3</v>
      </c>
      <c r="G35" s="403"/>
      <c r="H35" s="265" t="s">
        <v>391</v>
      </c>
      <c r="I35" s="266">
        <v>4</v>
      </c>
      <c r="J35" s="266">
        <v>2</v>
      </c>
      <c r="K35" s="266">
        <v>2</v>
      </c>
      <c r="O35" s="267" t="s">
        <v>391</v>
      </c>
      <c r="P35" s="269">
        <f t="shared" si="3"/>
        <v>1.8122508155128669E-3</v>
      </c>
      <c r="Q35" s="269">
        <f t="shared" si="0"/>
        <v>1.29366106080207E-3</v>
      </c>
      <c r="R35" s="269">
        <f t="shared" si="1"/>
        <v>2.4732069249793899E-3</v>
      </c>
      <c r="U35" s="265" t="s">
        <v>391</v>
      </c>
      <c r="V35" s="269">
        <f t="shared" si="4"/>
        <v>4.6728971962616819E-3</v>
      </c>
      <c r="W35" s="269">
        <f t="shared" si="5"/>
        <v>4.0160642570281121E-3</v>
      </c>
      <c r="X35" s="269">
        <f t="shared" si="2"/>
        <v>5.5865921787709499E-3</v>
      </c>
    </row>
    <row r="36" spans="1:25" ht="140" hidden="1" customHeight="1">
      <c r="A36" s="403"/>
      <c r="B36" s="265" t="s">
        <v>392</v>
      </c>
      <c r="C36" s="266">
        <v>9</v>
      </c>
      <c r="D36" s="266">
        <v>6</v>
      </c>
      <c r="E36" s="266">
        <v>3</v>
      </c>
      <c r="G36" s="403"/>
      <c r="H36" s="267" t="s">
        <v>392</v>
      </c>
      <c r="I36" s="268">
        <v>3</v>
      </c>
      <c r="J36" s="268">
        <v>2</v>
      </c>
      <c r="K36" s="268">
        <v>1</v>
      </c>
      <c r="O36" s="265" t="s">
        <v>392</v>
      </c>
      <c r="P36" s="269">
        <f t="shared" si="3"/>
        <v>3.2620514679231605E-3</v>
      </c>
      <c r="Q36" s="269">
        <f t="shared" si="0"/>
        <v>3.8809831824062097E-3</v>
      </c>
      <c r="R36" s="269">
        <f t="shared" si="1"/>
        <v>2.4732069249793899E-3</v>
      </c>
      <c r="U36" s="267" t="s">
        <v>392</v>
      </c>
      <c r="V36" s="269">
        <f t="shared" si="4"/>
        <v>3.5046728971962616E-3</v>
      </c>
      <c r="W36" s="269">
        <f t="shared" si="5"/>
        <v>4.0160642570281121E-3</v>
      </c>
      <c r="X36" s="269">
        <f t="shared" si="2"/>
        <v>2.7932960893854749E-3</v>
      </c>
    </row>
    <row r="37" spans="1:25" ht="36.5" customHeight="1">
      <c r="A37" s="403"/>
      <c r="B37" s="282" t="s">
        <v>393</v>
      </c>
      <c r="C37" s="283">
        <v>102</v>
      </c>
      <c r="D37" s="283">
        <v>57</v>
      </c>
      <c r="E37" s="283">
        <v>45</v>
      </c>
      <c r="G37" s="405"/>
      <c r="H37" s="294" t="s">
        <v>393</v>
      </c>
      <c r="I37" s="283">
        <v>29</v>
      </c>
      <c r="J37" s="283">
        <v>19</v>
      </c>
      <c r="K37" s="283">
        <v>10</v>
      </c>
      <c r="O37" s="320" t="s">
        <v>393</v>
      </c>
      <c r="P37" s="295">
        <f t="shared" si="3"/>
        <v>3.6969916636462485E-2</v>
      </c>
      <c r="Q37" s="295">
        <f t="shared" si="0"/>
        <v>3.6869340232858989E-2</v>
      </c>
      <c r="R37" s="322">
        <f t="shared" si="1"/>
        <v>3.7098103874690848E-2</v>
      </c>
      <c r="S37" s="121"/>
      <c r="U37" s="320" t="s">
        <v>393</v>
      </c>
      <c r="V37" s="3">
        <f t="shared" si="4"/>
        <v>3.3878504672897193E-2</v>
      </c>
      <c r="W37" s="3">
        <f t="shared" si="5"/>
        <v>3.8152610441767071E-2</v>
      </c>
      <c r="X37" s="10">
        <f t="shared" si="2"/>
        <v>2.7932960893854747E-2</v>
      </c>
    </row>
    <row r="38" spans="1:25" ht="32" hidden="1" customHeight="1">
      <c r="A38" s="403"/>
      <c r="B38" s="281" t="s">
        <v>394</v>
      </c>
      <c r="C38" s="280">
        <v>39</v>
      </c>
      <c r="D38" s="280">
        <v>23</v>
      </c>
      <c r="E38" s="280">
        <v>16</v>
      </c>
      <c r="G38" s="405"/>
      <c r="H38" s="285" t="s">
        <v>394</v>
      </c>
      <c r="I38" s="293">
        <v>17</v>
      </c>
      <c r="J38" s="293">
        <v>15</v>
      </c>
      <c r="K38" s="293">
        <v>2</v>
      </c>
      <c r="O38" s="320" t="s">
        <v>394</v>
      </c>
      <c r="P38" s="295">
        <f t="shared" si="3"/>
        <v>1.4135556361000362E-2</v>
      </c>
      <c r="Q38" s="295">
        <f t="shared" si="0"/>
        <v>1.4877102199223804E-2</v>
      </c>
      <c r="R38" s="322">
        <f t="shared" si="1"/>
        <v>1.3190436933223413E-2</v>
      </c>
      <c r="S38" s="121"/>
      <c r="U38" s="285" t="s">
        <v>394</v>
      </c>
      <c r="V38" s="3">
        <f t="shared" si="4"/>
        <v>1.9859813084112148E-2</v>
      </c>
      <c r="W38" s="3">
        <f t="shared" si="5"/>
        <v>3.0120481927710843E-2</v>
      </c>
      <c r="X38" s="3">
        <f t="shared" si="2"/>
        <v>5.5865921787709499E-3</v>
      </c>
    </row>
    <row r="39" spans="1:25" ht="45.5" hidden="1" customHeight="1">
      <c r="A39" s="403"/>
      <c r="B39" s="285" t="s">
        <v>395</v>
      </c>
      <c r="C39" s="77">
        <v>25</v>
      </c>
      <c r="D39" s="77">
        <v>14</v>
      </c>
      <c r="E39" s="77">
        <v>11</v>
      </c>
      <c r="G39" s="405"/>
      <c r="H39" s="282" t="s">
        <v>395</v>
      </c>
      <c r="I39" s="283">
        <v>9</v>
      </c>
      <c r="J39" s="283">
        <v>6</v>
      </c>
      <c r="K39" s="283">
        <v>3</v>
      </c>
      <c r="N39" s="122"/>
      <c r="O39" s="323" t="s">
        <v>395</v>
      </c>
      <c r="P39" s="295">
        <f t="shared" si="3"/>
        <v>9.0612540775643347E-3</v>
      </c>
      <c r="Q39" s="295">
        <f t="shared" si="0"/>
        <v>9.0556274256144882E-3</v>
      </c>
      <c r="R39" s="322">
        <f t="shared" si="1"/>
        <v>9.0684253915910961E-3</v>
      </c>
      <c r="S39" s="121"/>
      <c r="U39" s="281" t="s">
        <v>395</v>
      </c>
      <c r="V39" s="3">
        <f t="shared" si="4"/>
        <v>1.0514018691588784E-2</v>
      </c>
      <c r="W39" s="3">
        <f t="shared" si="5"/>
        <v>1.2048192771084338E-2</v>
      </c>
      <c r="X39" s="3">
        <f t="shared" si="2"/>
        <v>8.3798882681564244E-3</v>
      </c>
    </row>
    <row r="40" spans="1:25" ht="30" customHeight="1" thickBot="1">
      <c r="A40" s="403"/>
      <c r="B40" s="282" t="s">
        <v>396</v>
      </c>
      <c r="C40" s="283">
        <v>128</v>
      </c>
      <c r="D40" s="283">
        <v>102</v>
      </c>
      <c r="E40" s="283">
        <v>26</v>
      </c>
      <c r="G40" s="405"/>
      <c r="H40" s="291" t="s">
        <v>396</v>
      </c>
      <c r="I40" s="284">
        <v>28</v>
      </c>
      <c r="J40" s="284">
        <v>23</v>
      </c>
      <c r="K40" s="284">
        <v>5</v>
      </c>
      <c r="N40" s="122"/>
      <c r="O40" s="291" t="s">
        <v>396</v>
      </c>
      <c r="P40" s="295">
        <f t="shared" si="3"/>
        <v>4.6393620877129393E-2</v>
      </c>
      <c r="Q40" s="295">
        <f t="shared" si="0"/>
        <v>6.5976714100905567E-2</v>
      </c>
      <c r="R40" s="322">
        <f t="shared" si="1"/>
        <v>2.1434460016488046E-2</v>
      </c>
      <c r="S40" s="121"/>
      <c r="U40" s="320" t="s">
        <v>396</v>
      </c>
      <c r="V40" s="3">
        <f t="shared" si="4"/>
        <v>3.2710280373831772E-2</v>
      </c>
      <c r="W40" s="3">
        <f t="shared" si="5"/>
        <v>4.6184738955823292E-2</v>
      </c>
      <c r="X40" s="235">
        <f t="shared" si="2"/>
        <v>1.3966480446927373E-2</v>
      </c>
      <c r="Y40" s="121"/>
    </row>
    <row r="41" spans="1:25" ht="14.5" hidden="1" customHeight="1">
      <c r="A41" s="403"/>
      <c r="B41" s="267" t="s">
        <v>397</v>
      </c>
      <c r="C41" s="268">
        <v>4</v>
      </c>
      <c r="D41" s="268">
        <v>3</v>
      </c>
      <c r="E41" s="268">
        <v>1</v>
      </c>
      <c r="G41" s="403"/>
      <c r="H41" s="265" t="s">
        <v>397</v>
      </c>
      <c r="I41" s="266">
        <v>2</v>
      </c>
      <c r="J41" s="266">
        <v>1</v>
      </c>
      <c r="K41" s="266">
        <v>1</v>
      </c>
      <c r="O41" s="267" t="s">
        <v>397</v>
      </c>
      <c r="P41" s="269">
        <f t="shared" si="3"/>
        <v>1.4498006524102935E-3</v>
      </c>
      <c r="Q41" s="269">
        <f t="shared" si="0"/>
        <v>1.9404915912031048E-3</v>
      </c>
      <c r="R41" s="269">
        <f t="shared" si="1"/>
        <v>8.2440230832646333E-4</v>
      </c>
      <c r="U41" s="265" t="s">
        <v>397</v>
      </c>
      <c r="V41" s="269">
        <f t="shared" si="4"/>
        <v>2.3364485981308409E-3</v>
      </c>
      <c r="W41" s="269">
        <f t="shared" si="5"/>
        <v>2.008032128514056E-3</v>
      </c>
      <c r="X41" s="269">
        <f t="shared" si="2"/>
        <v>2.7932960893854749E-3</v>
      </c>
    </row>
    <row r="42" spans="1:25" ht="70" hidden="1" customHeight="1">
      <c r="A42" s="403"/>
      <c r="B42" s="265" t="s">
        <v>398</v>
      </c>
      <c r="C42" s="266">
        <v>1</v>
      </c>
      <c r="D42" s="266">
        <v>1</v>
      </c>
      <c r="E42" s="266">
        <v>0</v>
      </c>
      <c r="G42" s="403"/>
      <c r="H42" s="267" t="s">
        <v>399</v>
      </c>
      <c r="I42" s="268">
        <v>4</v>
      </c>
      <c r="J42" s="268">
        <v>4</v>
      </c>
      <c r="K42" s="268">
        <v>0</v>
      </c>
      <c r="O42" s="265" t="s">
        <v>398</v>
      </c>
      <c r="P42" s="269">
        <f t="shared" si="3"/>
        <v>3.6245016310257339E-4</v>
      </c>
      <c r="Q42" s="269">
        <f t="shared" si="0"/>
        <v>6.4683053040103498E-4</v>
      </c>
      <c r="R42" s="269">
        <f t="shared" si="1"/>
        <v>0</v>
      </c>
      <c r="U42" s="267" t="s">
        <v>399</v>
      </c>
      <c r="V42" s="269">
        <f t="shared" si="4"/>
        <v>4.6728971962616819E-3</v>
      </c>
      <c r="W42" s="269">
        <f t="shared" si="5"/>
        <v>8.0321285140562242E-3</v>
      </c>
      <c r="X42" s="269">
        <f t="shared" si="2"/>
        <v>0</v>
      </c>
    </row>
    <row r="43" spans="1:25" ht="70" hidden="1" customHeight="1">
      <c r="A43" s="403"/>
      <c r="B43" s="267" t="s">
        <v>399</v>
      </c>
      <c r="C43" s="268">
        <v>7</v>
      </c>
      <c r="D43" s="268">
        <v>7</v>
      </c>
      <c r="E43" s="268">
        <v>0</v>
      </c>
      <c r="G43" s="403"/>
      <c r="H43" s="265" t="s">
        <v>400</v>
      </c>
      <c r="I43" s="266">
        <v>2</v>
      </c>
      <c r="J43" s="266">
        <v>2</v>
      </c>
      <c r="K43" s="266">
        <v>0</v>
      </c>
      <c r="O43" s="267" t="s">
        <v>399</v>
      </c>
      <c r="P43" s="269">
        <f t="shared" si="3"/>
        <v>2.5371511417180137E-3</v>
      </c>
      <c r="Q43" s="269">
        <f t="shared" si="0"/>
        <v>4.5278137128072441E-3</v>
      </c>
      <c r="R43" s="269">
        <f t="shared" si="1"/>
        <v>0</v>
      </c>
      <c r="U43" s="265" t="s">
        <v>400</v>
      </c>
      <c r="V43" s="269">
        <f t="shared" si="4"/>
        <v>2.3364485981308409E-3</v>
      </c>
      <c r="W43" s="269">
        <f t="shared" si="5"/>
        <v>4.0160642570281121E-3</v>
      </c>
      <c r="X43" s="269">
        <f t="shared" si="2"/>
        <v>0</v>
      </c>
    </row>
    <row r="44" spans="1:25" ht="70" hidden="1" customHeight="1">
      <c r="A44" s="403"/>
      <c r="B44" s="265" t="s">
        <v>400</v>
      </c>
      <c r="C44" s="266">
        <v>7</v>
      </c>
      <c r="D44" s="266">
        <v>6</v>
      </c>
      <c r="E44" s="266">
        <v>1</v>
      </c>
      <c r="G44" s="403"/>
      <c r="H44" s="267" t="s">
        <v>401</v>
      </c>
      <c r="I44" s="268">
        <v>1</v>
      </c>
      <c r="J44" s="268">
        <v>1</v>
      </c>
      <c r="K44" s="268">
        <v>0</v>
      </c>
      <c r="O44" s="265" t="s">
        <v>400</v>
      </c>
      <c r="P44" s="269">
        <f t="shared" si="3"/>
        <v>2.5371511417180137E-3</v>
      </c>
      <c r="Q44" s="269">
        <f t="shared" si="0"/>
        <v>3.8809831824062097E-3</v>
      </c>
      <c r="R44" s="269">
        <f t="shared" si="1"/>
        <v>8.2440230832646333E-4</v>
      </c>
      <c r="U44" s="267" t="s">
        <v>401</v>
      </c>
      <c r="V44" s="269">
        <f t="shared" si="4"/>
        <v>1.1682242990654205E-3</v>
      </c>
      <c r="W44" s="269">
        <f t="shared" si="5"/>
        <v>2.008032128514056E-3</v>
      </c>
      <c r="X44" s="269">
        <f t="shared" si="2"/>
        <v>0</v>
      </c>
    </row>
    <row r="45" spans="1:25" ht="56" hidden="1" customHeight="1">
      <c r="A45" s="403"/>
      <c r="B45" s="267" t="s">
        <v>401</v>
      </c>
      <c r="C45" s="268">
        <v>2</v>
      </c>
      <c r="D45" s="268">
        <v>2</v>
      </c>
      <c r="E45" s="268">
        <v>0</v>
      </c>
      <c r="G45" s="403"/>
      <c r="H45" s="265" t="s">
        <v>402</v>
      </c>
      <c r="I45" s="266">
        <v>2</v>
      </c>
      <c r="J45" s="266">
        <v>1</v>
      </c>
      <c r="K45" s="266">
        <v>1</v>
      </c>
      <c r="O45" s="267" t="s">
        <v>401</v>
      </c>
      <c r="P45" s="269">
        <f t="shared" si="3"/>
        <v>7.2490032620514677E-4</v>
      </c>
      <c r="Q45" s="269">
        <f t="shared" si="0"/>
        <v>1.29366106080207E-3</v>
      </c>
      <c r="R45" s="269">
        <f t="shared" si="1"/>
        <v>0</v>
      </c>
      <c r="U45" s="265" t="s">
        <v>402</v>
      </c>
      <c r="V45" s="269">
        <f t="shared" si="4"/>
        <v>2.3364485981308409E-3</v>
      </c>
      <c r="W45" s="269">
        <f t="shared" si="5"/>
        <v>2.008032128514056E-3</v>
      </c>
      <c r="X45" s="269">
        <f t="shared" si="2"/>
        <v>2.7932960893854749E-3</v>
      </c>
    </row>
    <row r="46" spans="1:25" ht="56" hidden="1" customHeight="1">
      <c r="A46" s="403"/>
      <c r="B46" s="265" t="s">
        <v>402</v>
      </c>
      <c r="C46" s="266">
        <v>5</v>
      </c>
      <c r="D46" s="266">
        <v>3</v>
      </c>
      <c r="E46" s="266">
        <v>2</v>
      </c>
      <c r="G46" s="403"/>
      <c r="H46" s="267" t="s">
        <v>403</v>
      </c>
      <c r="I46" s="268">
        <v>4</v>
      </c>
      <c r="J46" s="268">
        <v>4</v>
      </c>
      <c r="K46" s="268">
        <v>0</v>
      </c>
      <c r="O46" s="265" t="s">
        <v>402</v>
      </c>
      <c r="P46" s="269">
        <f t="shared" si="3"/>
        <v>1.8122508155128669E-3</v>
      </c>
      <c r="Q46" s="269">
        <f t="shared" si="0"/>
        <v>1.9404915912031048E-3</v>
      </c>
      <c r="R46" s="269">
        <f t="shared" si="1"/>
        <v>1.6488046166529267E-3</v>
      </c>
      <c r="U46" s="267" t="s">
        <v>403</v>
      </c>
      <c r="V46" s="269">
        <f t="shared" si="4"/>
        <v>4.6728971962616819E-3</v>
      </c>
      <c r="W46" s="269">
        <f t="shared" si="5"/>
        <v>8.0321285140562242E-3</v>
      </c>
      <c r="X46" s="269">
        <f t="shared" si="2"/>
        <v>0</v>
      </c>
    </row>
    <row r="47" spans="1:25" ht="84" hidden="1" customHeight="1">
      <c r="A47" s="403"/>
      <c r="B47" s="267" t="s">
        <v>403</v>
      </c>
      <c r="C47" s="268">
        <v>16</v>
      </c>
      <c r="D47" s="268">
        <v>10</v>
      </c>
      <c r="E47" s="268">
        <v>6</v>
      </c>
      <c r="G47" s="403"/>
      <c r="H47" s="265" t="s">
        <v>404</v>
      </c>
      <c r="I47" s="266">
        <v>8</v>
      </c>
      <c r="J47" s="266">
        <v>8</v>
      </c>
      <c r="K47" s="266">
        <v>0</v>
      </c>
      <c r="O47" s="267" t="s">
        <v>403</v>
      </c>
      <c r="P47" s="269">
        <f t="shared" si="3"/>
        <v>5.7992026096411742E-3</v>
      </c>
      <c r="Q47" s="269">
        <f t="shared" si="0"/>
        <v>6.4683053040103496E-3</v>
      </c>
      <c r="R47" s="269">
        <f t="shared" si="1"/>
        <v>4.9464138499587798E-3</v>
      </c>
      <c r="U47" s="265" t="s">
        <v>404</v>
      </c>
      <c r="V47" s="269">
        <f t="shared" si="4"/>
        <v>9.3457943925233638E-3</v>
      </c>
      <c r="W47" s="269">
        <f t="shared" si="5"/>
        <v>1.6064257028112448E-2</v>
      </c>
      <c r="X47" s="269">
        <f t="shared" si="2"/>
        <v>0</v>
      </c>
    </row>
    <row r="48" spans="1:25" ht="30.5" customHeight="1">
      <c r="A48" s="403"/>
      <c r="B48" s="281" t="s">
        <v>404</v>
      </c>
      <c r="C48" s="284">
        <v>34</v>
      </c>
      <c r="D48" s="284">
        <v>28</v>
      </c>
      <c r="E48" s="284">
        <v>6</v>
      </c>
      <c r="G48" s="405"/>
      <c r="H48" s="294" t="s">
        <v>405</v>
      </c>
      <c r="I48" s="283">
        <v>56</v>
      </c>
      <c r="J48" s="283">
        <v>52</v>
      </c>
      <c r="K48" s="283">
        <v>4</v>
      </c>
      <c r="O48" s="320" t="s">
        <v>404</v>
      </c>
      <c r="P48" s="295">
        <f t="shared" si="3"/>
        <v>1.2323305545487495E-2</v>
      </c>
      <c r="Q48" s="295">
        <f t="shared" si="0"/>
        <v>1.8111254851228976E-2</v>
      </c>
      <c r="R48" s="322">
        <f t="shared" si="1"/>
        <v>4.9464138499587798E-3</v>
      </c>
      <c r="S48" s="121"/>
      <c r="U48" s="320" t="s">
        <v>405</v>
      </c>
      <c r="V48" s="3">
        <f t="shared" si="4"/>
        <v>6.5420560747663545E-2</v>
      </c>
      <c r="W48" s="3">
        <f t="shared" si="5"/>
        <v>0.10441767068273092</v>
      </c>
      <c r="X48" s="234">
        <f t="shared" si="2"/>
        <v>1.11731843575419E-2</v>
      </c>
      <c r="Y48" s="121"/>
    </row>
    <row r="49" spans="1:25" ht="56" hidden="1" customHeight="1">
      <c r="A49" s="403"/>
      <c r="B49" s="267" t="s">
        <v>405</v>
      </c>
      <c r="C49" s="268">
        <v>170</v>
      </c>
      <c r="D49" s="268">
        <v>160</v>
      </c>
      <c r="E49" s="268">
        <v>10</v>
      </c>
      <c r="G49" s="403"/>
      <c r="H49" s="265" t="s">
        <v>406</v>
      </c>
      <c r="I49" s="266">
        <v>9</v>
      </c>
      <c r="J49" s="266">
        <v>7</v>
      </c>
      <c r="K49" s="266">
        <v>2</v>
      </c>
      <c r="O49" s="267" t="s">
        <v>405</v>
      </c>
      <c r="P49" s="269">
        <f t="shared" si="3"/>
        <v>6.1616527727437476E-2</v>
      </c>
      <c r="Q49" s="269">
        <f t="shared" si="0"/>
        <v>0.10349288486416559</v>
      </c>
      <c r="R49" s="269">
        <f t="shared" si="1"/>
        <v>8.2440230832646327E-3</v>
      </c>
      <c r="U49" s="265" t="s">
        <v>406</v>
      </c>
      <c r="V49" s="269">
        <f t="shared" si="4"/>
        <v>1.0514018691588784E-2</v>
      </c>
      <c r="W49" s="269">
        <f t="shared" si="5"/>
        <v>1.4056224899598393E-2</v>
      </c>
      <c r="X49" s="269">
        <f t="shared" si="2"/>
        <v>5.5865921787709499E-3</v>
      </c>
    </row>
    <row r="50" spans="1:25" ht="56" hidden="1" customHeight="1">
      <c r="A50" s="403"/>
      <c r="B50" s="265" t="s">
        <v>406</v>
      </c>
      <c r="C50" s="266">
        <v>25</v>
      </c>
      <c r="D50" s="266">
        <v>15</v>
      </c>
      <c r="E50" s="266">
        <v>10</v>
      </c>
      <c r="G50" s="403"/>
      <c r="H50" s="267" t="s">
        <v>407</v>
      </c>
      <c r="I50" s="268">
        <v>1</v>
      </c>
      <c r="J50" s="268">
        <v>1</v>
      </c>
      <c r="K50" s="268">
        <v>0</v>
      </c>
      <c r="O50" s="265" t="s">
        <v>406</v>
      </c>
      <c r="P50" s="269">
        <f t="shared" si="3"/>
        <v>9.0612540775643347E-3</v>
      </c>
      <c r="Q50" s="269">
        <f t="shared" si="0"/>
        <v>9.7024579560155231E-3</v>
      </c>
      <c r="R50" s="269">
        <f t="shared" si="1"/>
        <v>8.2440230832646327E-3</v>
      </c>
      <c r="U50" s="267" t="s">
        <v>407</v>
      </c>
      <c r="V50" s="269">
        <f t="shared" si="4"/>
        <v>1.1682242990654205E-3</v>
      </c>
      <c r="W50" s="269">
        <f t="shared" si="5"/>
        <v>2.008032128514056E-3</v>
      </c>
      <c r="X50" s="269">
        <f t="shared" si="2"/>
        <v>0</v>
      </c>
    </row>
    <row r="51" spans="1:25" ht="56" hidden="1" customHeight="1">
      <c r="A51" s="403"/>
      <c r="B51" s="267" t="s">
        <v>407</v>
      </c>
      <c r="C51" s="268">
        <v>3</v>
      </c>
      <c r="D51" s="268">
        <v>2</v>
      </c>
      <c r="E51" s="268">
        <v>1</v>
      </c>
      <c r="G51" s="403"/>
      <c r="H51" s="265" t="s">
        <v>408</v>
      </c>
      <c r="I51" s="266">
        <v>22</v>
      </c>
      <c r="J51" s="266">
        <v>10</v>
      </c>
      <c r="K51" s="266">
        <v>12</v>
      </c>
      <c r="O51" s="267" t="s">
        <v>407</v>
      </c>
      <c r="P51" s="269">
        <f t="shared" si="3"/>
        <v>1.0873504893077202E-3</v>
      </c>
      <c r="Q51" s="269">
        <f t="shared" si="0"/>
        <v>1.29366106080207E-3</v>
      </c>
      <c r="R51" s="269">
        <f t="shared" si="1"/>
        <v>8.2440230832646333E-4</v>
      </c>
      <c r="U51" s="265" t="s">
        <v>408</v>
      </c>
      <c r="V51" s="269">
        <f t="shared" si="4"/>
        <v>2.5700934579439252E-2</v>
      </c>
      <c r="W51" s="269">
        <f t="shared" si="5"/>
        <v>2.0080321285140562E-2</v>
      </c>
      <c r="X51" s="269">
        <f t="shared" si="2"/>
        <v>3.3519553072625698E-2</v>
      </c>
    </row>
    <row r="52" spans="1:25" ht="31" customHeight="1">
      <c r="A52" s="403"/>
      <c r="B52" s="282" t="s">
        <v>408</v>
      </c>
      <c r="C52" s="283">
        <v>75</v>
      </c>
      <c r="D52" s="283">
        <v>37</v>
      </c>
      <c r="E52" s="283">
        <v>38</v>
      </c>
      <c r="G52" s="405"/>
      <c r="H52" s="291" t="s">
        <v>409</v>
      </c>
      <c r="I52" s="284">
        <v>29</v>
      </c>
      <c r="J52" s="284">
        <v>21</v>
      </c>
      <c r="K52" s="284">
        <v>8</v>
      </c>
      <c r="O52" s="320" t="s">
        <v>408</v>
      </c>
      <c r="P52" s="295">
        <f t="shared" si="3"/>
        <v>2.7183762232693004E-2</v>
      </c>
      <c r="Q52" s="295">
        <f t="shared" si="0"/>
        <v>2.3932729624838292E-2</v>
      </c>
      <c r="R52" s="322">
        <f t="shared" si="1"/>
        <v>3.1327287716405604E-2</v>
      </c>
      <c r="S52" s="121"/>
      <c r="U52" s="320" t="s">
        <v>409</v>
      </c>
      <c r="V52" s="3">
        <f t="shared" si="4"/>
        <v>3.3878504672897193E-2</v>
      </c>
      <c r="W52" s="3">
        <f t="shared" si="5"/>
        <v>4.2168674698795178E-2</v>
      </c>
      <c r="X52" s="234">
        <f t="shared" si="2"/>
        <v>2.23463687150838E-2</v>
      </c>
      <c r="Y52" s="121"/>
    </row>
    <row r="53" spans="1:25" ht="98" hidden="1" customHeight="1">
      <c r="A53" s="403"/>
      <c r="B53" s="267" t="s">
        <v>409</v>
      </c>
      <c r="C53" s="268">
        <v>116</v>
      </c>
      <c r="D53" s="268">
        <v>65</v>
      </c>
      <c r="E53" s="268">
        <v>51</v>
      </c>
      <c r="G53" s="403"/>
      <c r="H53" s="265" t="s">
        <v>411</v>
      </c>
      <c r="I53" s="266">
        <v>21</v>
      </c>
      <c r="J53" s="266">
        <v>12</v>
      </c>
      <c r="K53" s="266">
        <v>9</v>
      </c>
      <c r="O53" s="267" t="s">
        <v>409</v>
      </c>
      <c r="P53" s="269">
        <f t="shared" si="3"/>
        <v>4.2044218919898513E-2</v>
      </c>
      <c r="Q53" s="269">
        <f t="shared" si="0"/>
        <v>4.2043984476067268E-2</v>
      </c>
      <c r="R53" s="269">
        <f t="shared" si="1"/>
        <v>4.2044517724649628E-2</v>
      </c>
      <c r="U53" s="265" t="s">
        <v>411</v>
      </c>
      <c r="V53" s="269">
        <f t="shared" si="4"/>
        <v>2.4532710280373831E-2</v>
      </c>
      <c r="W53" s="269">
        <f t="shared" si="5"/>
        <v>2.4096385542168676E-2</v>
      </c>
      <c r="X53" s="269">
        <f t="shared" si="2"/>
        <v>2.5139664804469275E-2</v>
      </c>
    </row>
    <row r="54" spans="1:25" ht="84" hidden="1" customHeight="1">
      <c r="A54" s="403"/>
      <c r="B54" s="265" t="s">
        <v>410</v>
      </c>
      <c r="C54" s="266">
        <v>2</v>
      </c>
      <c r="D54" s="266">
        <v>0</v>
      </c>
      <c r="E54" s="266">
        <v>2</v>
      </c>
      <c r="G54" s="403"/>
      <c r="H54" s="267" t="s">
        <v>412</v>
      </c>
      <c r="I54" s="268">
        <v>13</v>
      </c>
      <c r="J54" s="268">
        <v>7</v>
      </c>
      <c r="K54" s="268">
        <v>6</v>
      </c>
      <c r="O54" s="265" t="s">
        <v>410</v>
      </c>
      <c r="P54" s="269">
        <f t="shared" si="3"/>
        <v>7.2490032620514677E-4</v>
      </c>
      <c r="Q54" s="269">
        <f t="shared" si="0"/>
        <v>0</v>
      </c>
      <c r="R54" s="269">
        <f t="shared" si="1"/>
        <v>1.6488046166529267E-3</v>
      </c>
      <c r="U54" s="267" t="s">
        <v>412</v>
      </c>
      <c r="V54" s="269">
        <f t="shared" si="4"/>
        <v>1.5186915887850467E-2</v>
      </c>
      <c r="W54" s="269">
        <f t="shared" si="5"/>
        <v>1.4056224899598393E-2</v>
      </c>
      <c r="X54" s="269">
        <f t="shared" si="2"/>
        <v>1.6759776536312849E-2</v>
      </c>
    </row>
    <row r="55" spans="1:25" ht="98" hidden="1" customHeight="1">
      <c r="A55" s="403"/>
      <c r="B55" s="267" t="s">
        <v>411</v>
      </c>
      <c r="C55" s="268">
        <v>66</v>
      </c>
      <c r="D55" s="268">
        <v>33</v>
      </c>
      <c r="E55" s="268">
        <v>33</v>
      </c>
      <c r="G55" s="403"/>
      <c r="H55" s="265" t="s">
        <v>413</v>
      </c>
      <c r="I55" s="266">
        <v>6</v>
      </c>
      <c r="J55" s="266">
        <v>2</v>
      </c>
      <c r="K55" s="266">
        <v>4</v>
      </c>
      <c r="O55" s="267" t="s">
        <v>411</v>
      </c>
      <c r="P55" s="269">
        <f t="shared" si="3"/>
        <v>2.3921710764769843E-2</v>
      </c>
      <c r="Q55" s="269">
        <f t="shared" si="0"/>
        <v>2.1345407503234153E-2</v>
      </c>
      <c r="R55" s="269">
        <f t="shared" si="1"/>
        <v>2.720527617477329E-2</v>
      </c>
      <c r="U55" s="265" t="s">
        <v>413</v>
      </c>
      <c r="V55" s="269">
        <f t="shared" si="4"/>
        <v>7.0093457943925233E-3</v>
      </c>
      <c r="W55" s="269">
        <f t="shared" si="5"/>
        <v>4.0160642570281121E-3</v>
      </c>
      <c r="X55" s="269">
        <f t="shared" si="2"/>
        <v>1.11731843575419E-2</v>
      </c>
    </row>
    <row r="56" spans="1:25" ht="98" hidden="1" customHeight="1">
      <c r="A56" s="403"/>
      <c r="B56" s="265" t="s">
        <v>412</v>
      </c>
      <c r="C56" s="266">
        <v>78</v>
      </c>
      <c r="D56" s="266">
        <v>44</v>
      </c>
      <c r="E56" s="266">
        <v>34</v>
      </c>
      <c r="G56" s="403"/>
      <c r="H56" s="267" t="s">
        <v>414</v>
      </c>
      <c r="I56" s="268">
        <v>5</v>
      </c>
      <c r="J56" s="268">
        <v>4</v>
      </c>
      <c r="K56" s="268">
        <v>1</v>
      </c>
      <c r="O56" s="265" t="s">
        <v>412</v>
      </c>
      <c r="P56" s="269">
        <f t="shared" si="3"/>
        <v>2.8271112722000724E-2</v>
      </c>
      <c r="Q56" s="269">
        <f t="shared" si="0"/>
        <v>2.8460543337645538E-2</v>
      </c>
      <c r="R56" s="269">
        <f t="shared" si="1"/>
        <v>2.8029678483099753E-2</v>
      </c>
      <c r="U56" s="267" t="s">
        <v>414</v>
      </c>
      <c r="V56" s="269">
        <f t="shared" si="4"/>
        <v>5.8411214953271026E-3</v>
      </c>
      <c r="W56" s="269">
        <f t="shared" si="5"/>
        <v>8.0321285140562242E-3</v>
      </c>
      <c r="X56" s="269">
        <f t="shared" si="2"/>
        <v>2.7932960893854749E-3</v>
      </c>
    </row>
    <row r="57" spans="1:25" ht="84" hidden="1" customHeight="1">
      <c r="A57" s="403"/>
      <c r="B57" s="267" t="s">
        <v>413</v>
      </c>
      <c r="C57" s="268">
        <v>44</v>
      </c>
      <c r="D57" s="268">
        <v>23</v>
      </c>
      <c r="E57" s="268">
        <v>21</v>
      </c>
      <c r="G57" s="403"/>
      <c r="H57" s="265" t="s">
        <v>415</v>
      </c>
      <c r="I57" s="266">
        <v>7</v>
      </c>
      <c r="J57" s="266">
        <v>6</v>
      </c>
      <c r="K57" s="266">
        <v>1</v>
      </c>
      <c r="O57" s="267" t="s">
        <v>413</v>
      </c>
      <c r="P57" s="269">
        <f t="shared" si="3"/>
        <v>1.5947807176513229E-2</v>
      </c>
      <c r="Q57" s="269">
        <f t="shared" si="0"/>
        <v>1.4877102199223804E-2</v>
      </c>
      <c r="R57" s="269">
        <f t="shared" si="1"/>
        <v>1.7312448474855729E-2</v>
      </c>
      <c r="U57" s="265" t="s">
        <v>415</v>
      </c>
      <c r="V57" s="269">
        <f t="shared" si="4"/>
        <v>8.1775700934579431E-3</v>
      </c>
      <c r="W57" s="269">
        <f t="shared" si="5"/>
        <v>1.2048192771084338E-2</v>
      </c>
      <c r="X57" s="269">
        <f t="shared" si="2"/>
        <v>2.7932960893854749E-3</v>
      </c>
    </row>
    <row r="58" spans="1:25" ht="98" hidden="1" customHeight="1">
      <c r="A58" s="403"/>
      <c r="B58" s="265" t="s">
        <v>414</v>
      </c>
      <c r="C58" s="266">
        <v>19</v>
      </c>
      <c r="D58" s="266">
        <v>7</v>
      </c>
      <c r="E58" s="266">
        <v>12</v>
      </c>
      <c r="G58" s="403"/>
      <c r="H58" s="267" t="s">
        <v>416</v>
      </c>
      <c r="I58" s="268">
        <v>15</v>
      </c>
      <c r="J58" s="268">
        <v>9</v>
      </c>
      <c r="K58" s="268">
        <v>6</v>
      </c>
      <c r="O58" s="265" t="s">
        <v>414</v>
      </c>
      <c r="P58" s="269">
        <f t="shared" si="3"/>
        <v>6.8865530989488943E-3</v>
      </c>
      <c r="Q58" s="269">
        <f t="shared" si="0"/>
        <v>4.5278137128072441E-3</v>
      </c>
      <c r="R58" s="269">
        <f t="shared" si="1"/>
        <v>9.8928276999175595E-3</v>
      </c>
      <c r="U58" s="267" t="s">
        <v>416</v>
      </c>
      <c r="V58" s="269">
        <f t="shared" si="4"/>
        <v>1.7523364485981307E-2</v>
      </c>
      <c r="W58" s="269">
        <f t="shared" si="5"/>
        <v>1.8072289156626505E-2</v>
      </c>
      <c r="X58" s="269">
        <f t="shared" si="2"/>
        <v>1.6759776536312849E-2</v>
      </c>
    </row>
    <row r="59" spans="1:25" ht="84" hidden="1" customHeight="1">
      <c r="A59" s="403"/>
      <c r="B59" s="267" t="s">
        <v>415</v>
      </c>
      <c r="C59" s="268">
        <v>22</v>
      </c>
      <c r="D59" s="268">
        <v>14</v>
      </c>
      <c r="E59" s="268">
        <v>8</v>
      </c>
      <c r="G59" s="403"/>
      <c r="H59" s="265" t="s">
        <v>417</v>
      </c>
      <c r="I59" s="266">
        <v>22</v>
      </c>
      <c r="J59" s="266">
        <v>7</v>
      </c>
      <c r="K59" s="266">
        <v>15</v>
      </c>
      <c r="O59" s="267" t="s">
        <v>415</v>
      </c>
      <c r="P59" s="269">
        <f t="shared" si="3"/>
        <v>7.9739035882566145E-3</v>
      </c>
      <c r="Q59" s="269">
        <f t="shared" si="0"/>
        <v>9.0556274256144882E-3</v>
      </c>
      <c r="R59" s="269">
        <f t="shared" si="1"/>
        <v>6.5952184666117067E-3</v>
      </c>
      <c r="U59" s="265" t="s">
        <v>417</v>
      </c>
      <c r="V59" s="269">
        <f t="shared" si="4"/>
        <v>2.5700934579439252E-2</v>
      </c>
      <c r="W59" s="269">
        <f t="shared" si="5"/>
        <v>1.4056224899598393E-2</v>
      </c>
      <c r="X59" s="269">
        <f t="shared" si="2"/>
        <v>4.189944134078212E-2</v>
      </c>
    </row>
    <row r="60" spans="1:25" ht="5" hidden="1" customHeight="1">
      <c r="A60" s="403"/>
      <c r="B60" s="265" t="s">
        <v>416</v>
      </c>
      <c r="C60" s="266">
        <v>48</v>
      </c>
      <c r="D60" s="266">
        <v>26</v>
      </c>
      <c r="E60" s="266">
        <v>22</v>
      </c>
      <c r="G60" s="403"/>
      <c r="H60" s="267" t="s">
        <v>419</v>
      </c>
      <c r="I60" s="268">
        <v>7</v>
      </c>
      <c r="J60" s="268">
        <v>0</v>
      </c>
      <c r="K60" s="268">
        <v>7</v>
      </c>
      <c r="M60" s="122"/>
      <c r="O60" s="265" t="s">
        <v>416</v>
      </c>
      <c r="P60" s="269">
        <f t="shared" si="3"/>
        <v>1.7397607828923523E-2</v>
      </c>
      <c r="Q60" s="269">
        <f t="shared" si="0"/>
        <v>1.6817593790426907E-2</v>
      </c>
      <c r="R60" s="269">
        <f t="shared" si="1"/>
        <v>1.8136850783182192E-2</v>
      </c>
      <c r="U60" s="267" t="s">
        <v>419</v>
      </c>
      <c r="V60" s="269">
        <f t="shared" si="4"/>
        <v>8.1775700934579431E-3</v>
      </c>
      <c r="W60" s="269">
        <f t="shared" si="5"/>
        <v>0</v>
      </c>
      <c r="X60" s="269">
        <f t="shared" si="2"/>
        <v>1.9553072625698324E-2</v>
      </c>
    </row>
    <row r="61" spans="1:25" ht="35.5" customHeight="1">
      <c r="A61" s="403"/>
      <c r="B61" s="281" t="s">
        <v>417</v>
      </c>
      <c r="C61" s="284">
        <v>85</v>
      </c>
      <c r="D61" s="284">
        <v>41</v>
      </c>
      <c r="E61" s="284">
        <v>44</v>
      </c>
      <c r="G61" s="405"/>
      <c r="H61" s="294" t="s">
        <v>420</v>
      </c>
      <c r="I61" s="283">
        <v>31</v>
      </c>
      <c r="J61" s="283">
        <v>19</v>
      </c>
      <c r="K61" s="283">
        <v>12</v>
      </c>
      <c r="O61" s="320" t="s">
        <v>417</v>
      </c>
      <c r="P61" s="295">
        <f t="shared" si="3"/>
        <v>3.0808263863718738E-2</v>
      </c>
      <c r="Q61" s="295">
        <f t="shared" si="0"/>
        <v>2.6520051746442432E-2</v>
      </c>
      <c r="R61" s="322">
        <f t="shared" si="1"/>
        <v>3.6273701566364384E-2</v>
      </c>
      <c r="S61" s="121"/>
      <c r="U61" s="320" t="s">
        <v>420</v>
      </c>
      <c r="V61" s="3">
        <f t="shared" si="4"/>
        <v>3.6214953271028034E-2</v>
      </c>
      <c r="W61" s="3">
        <f t="shared" si="5"/>
        <v>3.8152610441767071E-2</v>
      </c>
      <c r="X61" s="234">
        <f t="shared" si="2"/>
        <v>3.3519553072625698E-2</v>
      </c>
      <c r="Y61" s="121"/>
    </row>
    <row r="62" spans="1:25" ht="31.5" hidden="1" customHeight="1">
      <c r="A62" s="403"/>
      <c r="B62" s="292" t="s">
        <v>418</v>
      </c>
      <c r="C62" s="76">
        <v>1</v>
      </c>
      <c r="D62" s="76">
        <v>1</v>
      </c>
      <c r="E62" s="76">
        <v>0</v>
      </c>
      <c r="G62" s="405"/>
      <c r="H62" s="285" t="s">
        <v>421</v>
      </c>
      <c r="I62" s="77">
        <v>20</v>
      </c>
      <c r="J62" s="77">
        <v>10</v>
      </c>
      <c r="K62" s="77">
        <v>10</v>
      </c>
      <c r="N62" s="122"/>
      <c r="O62" s="291" t="s">
        <v>418</v>
      </c>
      <c r="P62" s="295">
        <f t="shared" si="3"/>
        <v>3.6245016310257339E-4</v>
      </c>
      <c r="Q62" s="295">
        <f t="shared" si="0"/>
        <v>6.4683053040103498E-4</v>
      </c>
      <c r="R62" s="322">
        <f t="shared" si="1"/>
        <v>0</v>
      </c>
      <c r="S62" s="121"/>
      <c r="U62" s="285" t="s">
        <v>421</v>
      </c>
      <c r="V62" s="3">
        <f t="shared" si="4"/>
        <v>2.336448598130841E-2</v>
      </c>
      <c r="W62" s="3">
        <f t="shared" si="5"/>
        <v>2.0080321285140562E-2</v>
      </c>
      <c r="X62" s="3">
        <f t="shared" si="2"/>
        <v>2.7932960893854747E-2</v>
      </c>
    </row>
    <row r="63" spans="1:25" ht="30" customHeight="1" thickBot="1">
      <c r="A63" s="403"/>
      <c r="B63" s="281" t="s">
        <v>419</v>
      </c>
      <c r="C63" s="284">
        <v>25</v>
      </c>
      <c r="D63" s="284">
        <v>0</v>
      </c>
      <c r="E63" s="284">
        <v>25</v>
      </c>
      <c r="G63" s="405"/>
      <c r="H63" s="291" t="s">
        <v>422</v>
      </c>
      <c r="I63" s="284">
        <v>38</v>
      </c>
      <c r="J63" s="284">
        <v>21</v>
      </c>
      <c r="K63" s="284">
        <v>17</v>
      </c>
      <c r="O63" s="320" t="s">
        <v>419</v>
      </c>
      <c r="P63" s="295">
        <f t="shared" si="3"/>
        <v>9.0612540775643347E-3</v>
      </c>
      <c r="Q63" s="295">
        <f t="shared" si="0"/>
        <v>0</v>
      </c>
      <c r="R63" s="322">
        <f t="shared" si="1"/>
        <v>2.0610057708161583E-2</v>
      </c>
      <c r="S63" s="121"/>
      <c r="U63" s="503" t="s">
        <v>422</v>
      </c>
      <c r="V63" s="304">
        <f t="shared" si="4"/>
        <v>4.4392523364485979E-2</v>
      </c>
      <c r="W63" s="12">
        <f t="shared" si="5"/>
        <v>4.2168674698795178E-2</v>
      </c>
      <c r="X63" s="504">
        <f t="shared" si="2"/>
        <v>4.7486033519553071E-2</v>
      </c>
      <c r="Y63" s="121"/>
    </row>
    <row r="64" spans="1:25" ht="40.5" customHeight="1">
      <c r="A64" s="403"/>
      <c r="B64" s="281" t="s">
        <v>420</v>
      </c>
      <c r="C64" s="284">
        <v>71</v>
      </c>
      <c r="D64" s="284">
        <v>36</v>
      </c>
      <c r="E64" s="284">
        <v>35</v>
      </c>
      <c r="O64" s="320" t="s">
        <v>420</v>
      </c>
      <c r="P64" s="295">
        <f t="shared" si="3"/>
        <v>2.573396158028271E-2</v>
      </c>
      <c r="Q64" s="295">
        <f t="shared" si="0"/>
        <v>2.3285899094437259E-2</v>
      </c>
      <c r="R64" s="322">
        <f t="shared" si="1"/>
        <v>2.8854080791426217E-2</v>
      </c>
      <c r="S64" s="121"/>
      <c r="V64" s="309"/>
      <c r="X64" s="309"/>
    </row>
    <row r="65" spans="1:19" ht="25.5" customHeight="1">
      <c r="A65" s="403"/>
      <c r="B65" s="282" t="s">
        <v>421</v>
      </c>
      <c r="C65" s="283">
        <v>68</v>
      </c>
      <c r="D65" s="283">
        <v>33</v>
      </c>
      <c r="E65" s="283">
        <v>35</v>
      </c>
      <c r="O65" s="320" t="s">
        <v>421</v>
      </c>
      <c r="P65" s="295">
        <f t="shared" si="3"/>
        <v>2.464661109097499E-2</v>
      </c>
      <c r="Q65" s="295">
        <f t="shared" si="0"/>
        <v>2.1345407503234153E-2</v>
      </c>
      <c r="R65" s="322">
        <f t="shared" si="1"/>
        <v>2.8854080791426217E-2</v>
      </c>
      <c r="S65" s="121"/>
    </row>
    <row r="66" spans="1:19" ht="28" customHeight="1" thickBot="1">
      <c r="A66" s="404"/>
      <c r="B66" s="281" t="s">
        <v>422</v>
      </c>
      <c r="C66" s="284">
        <v>88</v>
      </c>
      <c r="D66" s="284">
        <v>51</v>
      </c>
      <c r="E66" s="284">
        <v>37</v>
      </c>
      <c r="O66" s="324" t="s">
        <v>422</v>
      </c>
      <c r="P66" s="325">
        <f t="shared" si="3"/>
        <v>3.1895614353026458E-2</v>
      </c>
      <c r="Q66" s="325">
        <f t="shared" si="0"/>
        <v>3.2988357050452784E-2</v>
      </c>
      <c r="R66" s="326">
        <f t="shared" si="1"/>
        <v>3.0502885408079144E-2</v>
      </c>
      <c r="S66" s="121"/>
    </row>
    <row r="67" spans="1:19">
      <c r="O67" s="309"/>
      <c r="P67" s="309"/>
      <c r="Q67" s="309"/>
    </row>
  </sheetData>
  <autoFilter ref="V3:X63" xr:uid="{B22CD9D2-09F4-4BF2-86F1-A4C1C5197C1A}">
    <filterColumn colId="0">
      <top10 val="10" filterVal="3.2710280373831772E-2"/>
    </filterColumn>
  </autoFilter>
  <mergeCells count="10">
    <mergeCell ref="V2:X2"/>
    <mergeCell ref="B2:B3"/>
    <mergeCell ref="A12:A66"/>
    <mergeCell ref="G12:G63"/>
    <mergeCell ref="N2:O3"/>
    <mergeCell ref="C2:E2"/>
    <mergeCell ref="P2:R2"/>
    <mergeCell ref="H2:H3"/>
    <mergeCell ref="I2:K2"/>
    <mergeCell ref="T2:U3"/>
  </mergeCells>
  <conditionalFormatting sqref="P12:R6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:X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topLeftCell="B15" zoomScale="54" workbookViewId="0">
      <selection activeCell="P15" sqref="P15"/>
    </sheetView>
  </sheetViews>
  <sheetFormatPr baseColWidth="10" defaultColWidth="8.90625" defaultRowHeight="14.5"/>
  <cols>
    <col min="1" max="1" width="53" customWidth="1"/>
    <col min="3" max="3" width="10" customWidth="1"/>
    <col min="6" max="6" width="59.1796875" customWidth="1"/>
    <col min="7" max="9" width="12.90625"/>
  </cols>
  <sheetData>
    <row r="1" spans="1:9" ht="40.5" customHeight="1" thickBot="1">
      <c r="A1" s="149" t="s">
        <v>355</v>
      </c>
    </row>
    <row r="2" spans="1:9" ht="30.5" customHeight="1" thickBot="1"/>
    <row r="3" spans="1:9" ht="15" thickBot="1">
      <c r="A3" s="31" t="s">
        <v>116</v>
      </c>
      <c r="B3" s="415" t="s">
        <v>45</v>
      </c>
      <c r="C3" s="416"/>
      <c r="D3" s="417"/>
    </row>
    <row r="4" spans="1:9" ht="15" thickBot="1">
      <c r="B4" s="145" t="s">
        <v>45</v>
      </c>
      <c r="C4" s="146" t="s">
        <v>77</v>
      </c>
      <c r="D4" s="147" t="s">
        <v>78</v>
      </c>
    </row>
    <row r="5" spans="1:9" ht="30" customHeight="1" thickBot="1">
      <c r="A5" s="124" t="s">
        <v>45</v>
      </c>
      <c r="B5" s="125">
        <v>475</v>
      </c>
      <c r="C5" s="125">
        <v>409</v>
      </c>
      <c r="D5" s="126">
        <v>66</v>
      </c>
      <c r="F5" s="13"/>
      <c r="G5" s="111" t="s">
        <v>1</v>
      </c>
      <c r="H5" s="112" t="s">
        <v>77</v>
      </c>
      <c r="I5" s="113" t="s">
        <v>78</v>
      </c>
    </row>
    <row r="6" spans="1:9" ht="27" customHeight="1">
      <c r="A6" s="151" t="s">
        <v>117</v>
      </c>
      <c r="B6" s="123">
        <v>81</v>
      </c>
      <c r="C6" s="1">
        <v>54</v>
      </c>
      <c r="D6" s="7">
        <v>27</v>
      </c>
      <c r="F6" s="40" t="s">
        <v>117</v>
      </c>
      <c r="G6" s="161">
        <f>B6/B5</f>
        <v>0.17052631578947369</v>
      </c>
      <c r="H6" s="3">
        <f>C6/$C$5</f>
        <v>0.13202933985330073</v>
      </c>
      <c r="I6" s="10">
        <f>D6/$D$5</f>
        <v>0.40909090909090912</v>
      </c>
    </row>
    <row r="7" spans="1:9" ht="33.5" customHeight="1">
      <c r="A7" s="127" t="s">
        <v>118</v>
      </c>
      <c r="B7" s="123">
        <v>1</v>
      </c>
      <c r="C7" s="1">
        <v>1</v>
      </c>
      <c r="D7" s="7"/>
      <c r="F7" s="41" t="s">
        <v>118</v>
      </c>
      <c r="G7" s="161">
        <f>B7/$B$5</f>
        <v>2.1052631578947368E-3</v>
      </c>
      <c r="H7" s="3">
        <f t="shared" ref="H7:H16" si="0">C7/$C$5</f>
        <v>2.4449877750611247E-3</v>
      </c>
      <c r="I7" s="10"/>
    </row>
    <row r="8" spans="1:9" ht="24" customHeight="1">
      <c r="A8" s="152" t="s">
        <v>119</v>
      </c>
      <c r="B8" s="123">
        <v>1</v>
      </c>
      <c r="C8" s="1">
        <v>1</v>
      </c>
      <c r="D8" s="7"/>
      <c r="F8" s="41" t="s">
        <v>119</v>
      </c>
      <c r="G8" s="161">
        <f t="shared" ref="G8:G16" si="1">B8/$B$5</f>
        <v>2.1052631578947368E-3</v>
      </c>
      <c r="H8" s="3">
        <f t="shared" si="0"/>
        <v>2.4449877750611247E-3</v>
      </c>
      <c r="I8" s="10"/>
    </row>
    <row r="9" spans="1:9" ht="29" customHeight="1">
      <c r="A9" s="127" t="s">
        <v>120</v>
      </c>
      <c r="B9" s="123">
        <v>1</v>
      </c>
      <c r="C9" s="1">
        <v>1</v>
      </c>
      <c r="D9" s="7"/>
      <c r="F9" s="41" t="s">
        <v>120</v>
      </c>
      <c r="G9" s="161">
        <f t="shared" si="1"/>
        <v>2.1052631578947368E-3</v>
      </c>
      <c r="H9" s="3">
        <f t="shared" si="0"/>
        <v>2.4449877750611247E-3</v>
      </c>
      <c r="I9" s="10"/>
    </row>
    <row r="10" spans="1:9" ht="29.5" customHeight="1">
      <c r="A10" s="152" t="s">
        <v>121</v>
      </c>
      <c r="B10" s="123">
        <v>10</v>
      </c>
      <c r="C10" s="1">
        <v>10</v>
      </c>
      <c r="D10" s="7"/>
      <c r="F10" s="41" t="s">
        <v>121</v>
      </c>
      <c r="G10" s="161">
        <f t="shared" si="1"/>
        <v>2.1052631578947368E-2</v>
      </c>
      <c r="H10" s="3">
        <f t="shared" si="0"/>
        <v>2.4449877750611249E-2</v>
      </c>
      <c r="I10" s="10"/>
    </row>
    <row r="11" spans="1:9" ht="29" customHeight="1">
      <c r="A11" s="127" t="s">
        <v>122</v>
      </c>
      <c r="B11" s="123">
        <v>2</v>
      </c>
      <c r="C11" s="1">
        <v>1</v>
      </c>
      <c r="D11" s="7">
        <v>1</v>
      </c>
      <c r="F11" s="41" t="s">
        <v>122</v>
      </c>
      <c r="G11" s="161">
        <f t="shared" si="1"/>
        <v>4.2105263157894736E-3</v>
      </c>
      <c r="H11" s="3">
        <f t="shared" si="0"/>
        <v>2.4449877750611247E-3</v>
      </c>
      <c r="I11" s="10">
        <f t="shared" ref="I11:I16" si="2">D11/$D$5</f>
        <v>1.5151515151515152E-2</v>
      </c>
    </row>
    <row r="12" spans="1:9" ht="36.5" customHeight="1">
      <c r="A12" s="152" t="s">
        <v>123</v>
      </c>
      <c r="B12" s="123">
        <v>1</v>
      </c>
      <c r="C12" s="1"/>
      <c r="D12" s="7">
        <v>1</v>
      </c>
      <c r="F12" s="41" t="s">
        <v>123</v>
      </c>
      <c r="G12" s="161">
        <f t="shared" si="1"/>
        <v>2.1052631578947368E-3</v>
      </c>
      <c r="H12" s="3"/>
      <c r="I12" s="10">
        <f t="shared" si="2"/>
        <v>1.5151515151515152E-2</v>
      </c>
    </row>
    <row r="13" spans="1:9" ht="27" customHeight="1">
      <c r="A13" s="127" t="s">
        <v>124</v>
      </c>
      <c r="B13" s="123">
        <v>25</v>
      </c>
      <c r="C13" s="1">
        <v>20</v>
      </c>
      <c r="D13" s="7">
        <v>5</v>
      </c>
      <c r="F13" s="41" t="s">
        <v>124</v>
      </c>
      <c r="G13" s="161">
        <f t="shared" si="1"/>
        <v>5.2631578947368418E-2</v>
      </c>
      <c r="H13" s="3">
        <f t="shared" si="0"/>
        <v>4.8899755501222497E-2</v>
      </c>
      <c r="I13" s="10">
        <f t="shared" si="2"/>
        <v>7.575757575757576E-2</v>
      </c>
    </row>
    <row r="14" spans="1:9" ht="38.5" customHeight="1">
      <c r="A14" s="152" t="s">
        <v>125</v>
      </c>
      <c r="B14" s="123">
        <v>15</v>
      </c>
      <c r="C14" s="1">
        <v>13</v>
      </c>
      <c r="D14" s="7">
        <v>2</v>
      </c>
      <c r="F14" s="41" t="s">
        <v>125</v>
      </c>
      <c r="G14" s="161">
        <f t="shared" si="1"/>
        <v>3.1578947368421054E-2</v>
      </c>
      <c r="H14" s="3">
        <f t="shared" si="0"/>
        <v>3.1784841075794622E-2</v>
      </c>
      <c r="I14" s="10">
        <f t="shared" si="2"/>
        <v>3.0303030303030304E-2</v>
      </c>
    </row>
    <row r="15" spans="1:9" ht="31.5" customHeight="1">
      <c r="A15" s="127" t="s">
        <v>126</v>
      </c>
      <c r="B15" s="123">
        <v>335</v>
      </c>
      <c r="C15" s="1">
        <v>306</v>
      </c>
      <c r="D15" s="7">
        <v>29</v>
      </c>
      <c r="F15" s="41" t="s">
        <v>126</v>
      </c>
      <c r="G15" s="161">
        <f t="shared" si="1"/>
        <v>0.70526315789473681</v>
      </c>
      <c r="H15" s="3">
        <f t="shared" si="0"/>
        <v>0.74816625916870416</v>
      </c>
      <c r="I15" s="10">
        <f t="shared" si="2"/>
        <v>0.43939393939393939</v>
      </c>
    </row>
    <row r="16" spans="1:9" ht="38" customHeight="1" thickBot="1">
      <c r="A16" s="153" t="s">
        <v>127</v>
      </c>
      <c r="B16" s="128">
        <v>3</v>
      </c>
      <c r="C16" s="5">
        <v>2</v>
      </c>
      <c r="D16" s="8">
        <v>1</v>
      </c>
      <c r="F16" s="42" t="s">
        <v>127</v>
      </c>
      <c r="G16" s="161">
        <f t="shared" si="1"/>
        <v>6.3157894736842104E-3</v>
      </c>
      <c r="H16" s="3">
        <f t="shared" si="0"/>
        <v>4.8899755501222494E-3</v>
      </c>
      <c r="I16" s="10">
        <f t="shared" si="2"/>
        <v>1.5151515151515152E-2</v>
      </c>
    </row>
    <row r="17" spans="1:9" ht="15" thickBot="1">
      <c r="G17" s="37">
        <f>SUM(G6:G16)</f>
        <v>1</v>
      </c>
      <c r="H17" s="38">
        <f>SUM(H6:H16)</f>
        <v>1</v>
      </c>
      <c r="I17" s="39">
        <f>SUM(I6:I16)</f>
        <v>1</v>
      </c>
    </row>
    <row r="21" spans="1:9" ht="15" thickBot="1"/>
    <row r="22" spans="1:9" ht="38" customHeight="1" thickBot="1">
      <c r="A22" s="149" t="s">
        <v>128</v>
      </c>
    </row>
    <row r="24" spans="1:9" ht="15" thickBot="1"/>
    <row r="25" spans="1:9" ht="15" thickBot="1">
      <c r="A25" s="424" t="s">
        <v>129</v>
      </c>
      <c r="B25" s="422" t="s">
        <v>45</v>
      </c>
      <c r="C25" s="422" t="s">
        <v>45</v>
      </c>
      <c r="D25" s="423"/>
    </row>
    <row r="26" spans="1:9">
      <c r="A26" s="425"/>
      <c r="B26" s="426"/>
      <c r="C26" s="132" t="s">
        <v>77</v>
      </c>
      <c r="D26" s="156" t="s">
        <v>78</v>
      </c>
      <c r="F26" s="427" t="s">
        <v>45</v>
      </c>
      <c r="G26" s="418" t="s">
        <v>45</v>
      </c>
      <c r="H26" s="418" t="s">
        <v>77</v>
      </c>
      <c r="I26" s="420" t="s">
        <v>78</v>
      </c>
    </row>
    <row r="27" spans="1:9" ht="23" customHeight="1">
      <c r="A27" s="159" t="s">
        <v>45</v>
      </c>
      <c r="B27" s="129">
        <v>147</v>
      </c>
      <c r="C27" s="129">
        <v>129</v>
      </c>
      <c r="D27" s="130">
        <v>18</v>
      </c>
      <c r="F27" s="428"/>
      <c r="G27" s="419"/>
      <c r="H27" s="419"/>
      <c r="I27" s="421"/>
    </row>
    <row r="28" spans="1:9" ht="28.5" customHeight="1">
      <c r="A28" s="160" t="s">
        <v>117</v>
      </c>
      <c r="B28" s="154">
        <v>34</v>
      </c>
      <c r="C28" s="154">
        <v>24</v>
      </c>
      <c r="D28" s="155">
        <v>10</v>
      </c>
      <c r="F28" s="133" t="s">
        <v>117</v>
      </c>
      <c r="G28" s="34">
        <f>B28/$B$27</f>
        <v>0.23129251700680273</v>
      </c>
      <c r="H28" s="135">
        <f>C28/$C$27</f>
        <v>0.18604651162790697</v>
      </c>
      <c r="I28" s="35">
        <f>D28/$D$27</f>
        <v>0.55555555555555558</v>
      </c>
    </row>
    <row r="29" spans="1:9" ht="21" customHeight="1">
      <c r="A29" s="159" t="s">
        <v>119</v>
      </c>
      <c r="B29" s="129">
        <v>1</v>
      </c>
      <c r="C29" s="129">
        <v>1</v>
      </c>
      <c r="D29" s="130" t="s">
        <v>130</v>
      </c>
      <c r="F29" s="133" t="s">
        <v>119</v>
      </c>
      <c r="G29" s="34">
        <f t="shared" ref="G29:G35" si="3">B29/$B$27</f>
        <v>6.8027210884353739E-3</v>
      </c>
      <c r="H29" s="135">
        <f t="shared" ref="H29:H35" si="4">C29/$C$27</f>
        <v>7.7519379844961239E-3</v>
      </c>
      <c r="I29" s="35"/>
    </row>
    <row r="30" spans="1:9" ht="27" customHeight="1">
      <c r="A30" s="160" t="s">
        <v>121</v>
      </c>
      <c r="B30" s="154">
        <v>2</v>
      </c>
      <c r="C30" s="154">
        <v>2</v>
      </c>
      <c r="D30" s="155" t="s">
        <v>130</v>
      </c>
      <c r="F30" s="133" t="s">
        <v>121</v>
      </c>
      <c r="G30" s="34">
        <f t="shared" si="3"/>
        <v>1.3605442176870748E-2</v>
      </c>
      <c r="H30" s="135">
        <f t="shared" si="4"/>
        <v>1.5503875968992248E-2</v>
      </c>
      <c r="I30" s="35"/>
    </row>
    <row r="31" spans="1:9" ht="23" customHeight="1">
      <c r="A31" s="159" t="s">
        <v>122</v>
      </c>
      <c r="B31" s="129">
        <v>1</v>
      </c>
      <c r="C31" s="129">
        <v>1</v>
      </c>
      <c r="D31" s="130" t="s">
        <v>130</v>
      </c>
      <c r="F31" s="133" t="s">
        <v>122</v>
      </c>
      <c r="G31" s="34">
        <f t="shared" si="3"/>
        <v>6.8027210884353739E-3</v>
      </c>
      <c r="H31" s="135">
        <f t="shared" si="4"/>
        <v>7.7519379844961239E-3</v>
      </c>
      <c r="I31" s="35"/>
    </row>
    <row r="32" spans="1:9" ht="24" customHeight="1">
      <c r="A32" s="160" t="s">
        <v>124</v>
      </c>
      <c r="B32" s="154">
        <v>5</v>
      </c>
      <c r="C32" s="154">
        <v>4</v>
      </c>
      <c r="D32" s="155">
        <v>1</v>
      </c>
      <c r="F32" s="133" t="s">
        <v>124</v>
      </c>
      <c r="G32" s="34">
        <f t="shared" si="3"/>
        <v>3.4013605442176874E-2</v>
      </c>
      <c r="H32" s="135">
        <f t="shared" si="4"/>
        <v>3.1007751937984496E-2</v>
      </c>
      <c r="I32" s="35">
        <f t="shared" ref="I32:I35" si="5">D32/$D$27</f>
        <v>5.5555555555555552E-2</v>
      </c>
    </row>
    <row r="33" spans="1:9" ht="30.5" customHeight="1">
      <c r="A33" s="159" t="s">
        <v>125</v>
      </c>
      <c r="B33" s="129">
        <v>3</v>
      </c>
      <c r="C33" s="129">
        <v>2</v>
      </c>
      <c r="D33" s="130">
        <v>1</v>
      </c>
      <c r="F33" s="133" t="s">
        <v>125</v>
      </c>
      <c r="G33" s="34">
        <f t="shared" si="3"/>
        <v>2.0408163265306121E-2</v>
      </c>
      <c r="H33" s="135">
        <f t="shared" si="4"/>
        <v>1.5503875968992248E-2</v>
      </c>
      <c r="I33" s="35">
        <f t="shared" si="5"/>
        <v>5.5555555555555552E-2</v>
      </c>
    </row>
    <row r="34" spans="1:9" ht="25.5" customHeight="1">
      <c r="A34" s="160" t="s">
        <v>126</v>
      </c>
      <c r="B34" s="154">
        <v>99</v>
      </c>
      <c r="C34" s="154">
        <v>94</v>
      </c>
      <c r="D34" s="155">
        <v>5</v>
      </c>
      <c r="F34" s="133" t="s">
        <v>126</v>
      </c>
      <c r="G34" s="34">
        <f t="shared" si="3"/>
        <v>0.67346938775510201</v>
      </c>
      <c r="H34" s="135">
        <f t="shared" si="4"/>
        <v>0.72868217054263562</v>
      </c>
      <c r="I34" s="35">
        <f t="shared" si="5"/>
        <v>0.27777777777777779</v>
      </c>
    </row>
    <row r="35" spans="1:9" ht="37" customHeight="1" thickBot="1">
      <c r="A35" s="131" t="s">
        <v>127</v>
      </c>
      <c r="B35" s="157">
        <v>2</v>
      </c>
      <c r="C35" s="157">
        <v>1</v>
      </c>
      <c r="D35" s="158">
        <v>1</v>
      </c>
      <c r="F35" s="134" t="s">
        <v>127</v>
      </c>
      <c r="G35" s="34">
        <f t="shared" si="3"/>
        <v>1.3605442176870748E-2</v>
      </c>
      <c r="H35" s="135">
        <f t="shared" si="4"/>
        <v>7.7519379844961239E-3</v>
      </c>
      <c r="I35" s="35">
        <f t="shared" si="5"/>
        <v>5.5555555555555552E-2</v>
      </c>
    </row>
    <row r="36" spans="1:9" ht="15" thickBot="1">
      <c r="G36" s="43">
        <f>SUM(G28:G35)</f>
        <v>1</v>
      </c>
      <c r="H36" s="44">
        <f>SUM(H28:H35)</f>
        <v>1</v>
      </c>
      <c r="I36" s="45">
        <f>SUM(I28:I35)</f>
        <v>1</v>
      </c>
    </row>
  </sheetData>
  <mergeCells count="8">
    <mergeCell ref="B3:D3"/>
    <mergeCell ref="H26:H27"/>
    <mergeCell ref="I26:I27"/>
    <mergeCell ref="C25:D25"/>
    <mergeCell ref="A25:A26"/>
    <mergeCell ref="B25:B26"/>
    <mergeCell ref="F26:F27"/>
    <mergeCell ref="G26:G27"/>
  </mergeCells>
  <conditionalFormatting sqref="G6:I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8:I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127"/>
  <sheetViews>
    <sheetView topLeftCell="B1" zoomScale="69" workbookViewId="0">
      <selection activeCell="K104" sqref="K104"/>
    </sheetView>
  </sheetViews>
  <sheetFormatPr baseColWidth="10" defaultColWidth="8.90625" defaultRowHeight="14.5"/>
  <cols>
    <col min="1" max="1" width="77.453125" customWidth="1"/>
    <col min="2" max="2" width="11" customWidth="1"/>
    <col min="3" max="3" width="10.54296875" customWidth="1"/>
    <col min="4" max="4" width="10.08984375" customWidth="1"/>
    <col min="7" max="7" width="77.453125" customWidth="1"/>
    <col min="8" max="10" width="12.90625"/>
    <col min="14" max="14" width="12.6328125" customWidth="1"/>
    <col min="15" max="15" width="16.08984375" customWidth="1"/>
  </cols>
  <sheetData>
    <row r="1" spans="1:11" ht="11" customHeight="1" thickBot="1"/>
    <row r="2" spans="1:11" ht="19" customHeight="1" thickBot="1">
      <c r="A2" s="150" t="s">
        <v>93</v>
      </c>
      <c r="B2" s="439" t="s">
        <v>45</v>
      </c>
      <c r="C2" s="349" t="s">
        <v>45</v>
      </c>
      <c r="D2" s="351"/>
      <c r="G2" s="432" t="s">
        <v>427</v>
      </c>
    </row>
    <row r="3" spans="1:11" ht="26.5" customHeight="1" thickBot="1">
      <c r="A3" s="122"/>
      <c r="B3" s="440"/>
      <c r="C3" s="144" t="s">
        <v>77</v>
      </c>
      <c r="D3" s="55" t="s">
        <v>78</v>
      </c>
      <c r="G3" s="434"/>
      <c r="I3" s="435" t="s">
        <v>45</v>
      </c>
      <c r="J3" s="436"/>
    </row>
    <row r="4" spans="1:11">
      <c r="A4" s="124" t="s">
        <v>45</v>
      </c>
      <c r="B4" s="125">
        <v>1692</v>
      </c>
      <c r="C4" s="125">
        <v>1015</v>
      </c>
      <c r="D4" s="126">
        <v>677</v>
      </c>
      <c r="G4" s="137" t="s">
        <v>45</v>
      </c>
      <c r="H4" s="264" t="s">
        <v>45</v>
      </c>
      <c r="I4" s="303" t="s">
        <v>77</v>
      </c>
      <c r="J4" s="303" t="s">
        <v>78</v>
      </c>
      <c r="K4" s="121"/>
    </row>
    <row r="5" spans="1:11">
      <c r="A5" s="33" t="s">
        <v>131</v>
      </c>
      <c r="B5" s="1">
        <v>39</v>
      </c>
      <c r="C5" s="1">
        <v>16</v>
      </c>
      <c r="D5" s="7">
        <v>23</v>
      </c>
      <c r="G5" s="33" t="s">
        <v>131</v>
      </c>
      <c r="H5" s="164">
        <f>B5/$B$4</f>
        <v>2.3049645390070921E-2</v>
      </c>
      <c r="I5" s="164">
        <f>C5/$C$4</f>
        <v>1.5763546798029555E-2</v>
      </c>
      <c r="J5" s="164">
        <f>D5/$D$4</f>
        <v>3.3973412112259974E-2</v>
      </c>
    </row>
    <row r="6" spans="1:11">
      <c r="A6" s="33" t="s">
        <v>132</v>
      </c>
      <c r="B6" s="1">
        <v>19</v>
      </c>
      <c r="C6" s="1">
        <v>6</v>
      </c>
      <c r="D6" s="7">
        <v>13</v>
      </c>
      <c r="G6" s="33" t="s">
        <v>132</v>
      </c>
      <c r="H6" s="3">
        <f t="shared" ref="H6:H37" si="0">B6/$B$4</f>
        <v>1.1229314420803783E-2</v>
      </c>
      <c r="I6" s="3">
        <f t="shared" ref="I6:I37" si="1">C6/$C$4</f>
        <v>5.9113300492610842E-3</v>
      </c>
      <c r="J6" s="3">
        <f t="shared" ref="J6:J37" si="2">D6/$D$4</f>
        <v>1.9202363367799114E-2</v>
      </c>
    </row>
    <row r="7" spans="1:11">
      <c r="A7" s="33" t="s">
        <v>133</v>
      </c>
      <c r="B7" s="1">
        <v>1</v>
      </c>
      <c r="C7" s="1">
        <v>1</v>
      </c>
      <c r="D7" s="7"/>
      <c r="G7" s="33" t="s">
        <v>133</v>
      </c>
      <c r="H7" s="3">
        <f t="shared" si="0"/>
        <v>5.9101654846335696E-4</v>
      </c>
      <c r="I7" s="3">
        <f t="shared" si="1"/>
        <v>9.8522167487684722E-4</v>
      </c>
      <c r="J7" s="3">
        <f t="shared" si="2"/>
        <v>0</v>
      </c>
    </row>
    <row r="8" spans="1:11">
      <c r="A8" s="33" t="s">
        <v>134</v>
      </c>
      <c r="B8" s="1">
        <v>1</v>
      </c>
      <c r="C8" s="1">
        <v>1</v>
      </c>
      <c r="D8" s="7"/>
      <c r="G8" s="33" t="s">
        <v>134</v>
      </c>
      <c r="H8" s="3">
        <f t="shared" si="0"/>
        <v>5.9101654846335696E-4</v>
      </c>
      <c r="I8" s="3">
        <f t="shared" si="1"/>
        <v>9.8522167487684722E-4</v>
      </c>
      <c r="J8" s="3">
        <f t="shared" si="2"/>
        <v>0</v>
      </c>
    </row>
    <row r="9" spans="1:11">
      <c r="A9" s="33" t="s">
        <v>135</v>
      </c>
      <c r="B9" s="1">
        <v>8</v>
      </c>
      <c r="C9" s="1">
        <v>3</v>
      </c>
      <c r="D9" s="7">
        <v>5</v>
      </c>
      <c r="G9" s="33" t="s">
        <v>135</v>
      </c>
      <c r="H9" s="3">
        <f t="shared" si="0"/>
        <v>4.7281323877068557E-3</v>
      </c>
      <c r="I9" s="3">
        <f t="shared" si="1"/>
        <v>2.9556650246305421E-3</v>
      </c>
      <c r="J9" s="3">
        <f t="shared" si="2"/>
        <v>7.385524372230428E-3</v>
      </c>
    </row>
    <row r="10" spans="1:11">
      <c r="A10" s="33" t="s">
        <v>136</v>
      </c>
      <c r="B10" s="1">
        <v>29</v>
      </c>
      <c r="C10" s="1">
        <v>16</v>
      </c>
      <c r="D10" s="7">
        <v>13</v>
      </c>
      <c r="G10" s="33" t="s">
        <v>136</v>
      </c>
      <c r="H10" s="3">
        <f t="shared" si="0"/>
        <v>1.7139479905437353E-2</v>
      </c>
      <c r="I10" s="3">
        <f t="shared" si="1"/>
        <v>1.5763546798029555E-2</v>
      </c>
      <c r="J10" s="3">
        <f t="shared" si="2"/>
        <v>1.9202363367799114E-2</v>
      </c>
    </row>
    <row r="11" spans="1:11">
      <c r="A11" s="33" t="s">
        <v>137</v>
      </c>
      <c r="B11" s="1">
        <v>1</v>
      </c>
      <c r="C11" s="1"/>
      <c r="D11" s="7">
        <v>1</v>
      </c>
      <c r="G11" s="33" t="s">
        <v>137</v>
      </c>
      <c r="H11" s="3">
        <f t="shared" si="0"/>
        <v>5.9101654846335696E-4</v>
      </c>
      <c r="I11" s="3">
        <f t="shared" si="1"/>
        <v>0</v>
      </c>
      <c r="J11" s="3">
        <f t="shared" si="2"/>
        <v>1.4771048744460858E-3</v>
      </c>
    </row>
    <row r="12" spans="1:11" ht="15" thickBot="1">
      <c r="A12" s="33" t="s">
        <v>138</v>
      </c>
      <c r="B12" s="1">
        <v>20</v>
      </c>
      <c r="C12" s="1">
        <v>15</v>
      </c>
      <c r="D12" s="7">
        <v>5</v>
      </c>
      <c r="G12" s="33" t="s">
        <v>138</v>
      </c>
      <c r="H12" s="304">
        <f t="shared" si="0"/>
        <v>1.1820330969267139E-2</v>
      </c>
      <c r="I12" s="304">
        <f t="shared" si="1"/>
        <v>1.4778325123152709E-2</v>
      </c>
      <c r="J12" s="304">
        <f t="shared" si="2"/>
        <v>7.385524372230428E-3</v>
      </c>
    </row>
    <row r="13" spans="1:11">
      <c r="A13" s="33" t="s">
        <v>139</v>
      </c>
      <c r="B13" s="1">
        <v>65</v>
      </c>
      <c r="C13" s="1">
        <v>32</v>
      </c>
      <c r="D13" s="7">
        <v>33</v>
      </c>
      <c r="G13" s="33" t="s">
        <v>139</v>
      </c>
      <c r="H13" s="308">
        <f t="shared" si="0"/>
        <v>3.8416075650118203E-2</v>
      </c>
      <c r="I13" s="238">
        <f t="shared" si="1"/>
        <v>3.1527093596059111E-2</v>
      </c>
      <c r="J13" s="225">
        <f t="shared" si="2"/>
        <v>4.874446085672083E-2</v>
      </c>
      <c r="K13" s="121"/>
    </row>
    <row r="14" spans="1:11">
      <c r="A14" s="33" t="s">
        <v>140</v>
      </c>
      <c r="B14" s="1">
        <v>3</v>
      </c>
      <c r="C14" s="1">
        <v>2</v>
      </c>
      <c r="D14" s="7">
        <v>1</v>
      </c>
      <c r="G14" s="33" t="s">
        <v>140</v>
      </c>
      <c r="H14" s="3">
        <f t="shared" si="0"/>
        <v>1.7730496453900709E-3</v>
      </c>
      <c r="I14" s="3">
        <f t="shared" si="1"/>
        <v>1.9704433497536944E-3</v>
      </c>
      <c r="J14" s="3">
        <f t="shared" si="2"/>
        <v>1.4771048744460858E-3</v>
      </c>
    </row>
    <row r="15" spans="1:11">
      <c r="A15" s="33" t="s">
        <v>141</v>
      </c>
      <c r="B15" s="1">
        <v>10</v>
      </c>
      <c r="C15" s="1">
        <v>6</v>
      </c>
      <c r="D15" s="7">
        <v>4</v>
      </c>
      <c r="G15" s="33" t="s">
        <v>141</v>
      </c>
      <c r="H15" s="3">
        <f t="shared" si="0"/>
        <v>5.9101654846335696E-3</v>
      </c>
      <c r="I15" s="3">
        <f t="shared" si="1"/>
        <v>5.9113300492610842E-3</v>
      </c>
      <c r="J15" s="3">
        <f t="shared" si="2"/>
        <v>5.9084194977843431E-3</v>
      </c>
    </row>
    <row r="16" spans="1:11">
      <c r="A16" s="33" t="s">
        <v>142</v>
      </c>
      <c r="B16" s="1">
        <v>7</v>
      </c>
      <c r="C16" s="1"/>
      <c r="D16" s="7">
        <v>7</v>
      </c>
      <c r="G16" s="33" t="s">
        <v>142</v>
      </c>
      <c r="H16" s="3">
        <f t="shared" si="0"/>
        <v>4.1371158392434987E-3</v>
      </c>
      <c r="I16" s="3">
        <f t="shared" si="1"/>
        <v>0</v>
      </c>
      <c r="J16" s="3">
        <f t="shared" si="2"/>
        <v>1.03397341211226E-2</v>
      </c>
    </row>
    <row r="17" spans="1:11">
      <c r="A17" s="33" t="s">
        <v>143</v>
      </c>
      <c r="B17" s="1">
        <v>8</v>
      </c>
      <c r="C17" s="1">
        <v>4</v>
      </c>
      <c r="D17" s="7">
        <v>4</v>
      </c>
      <c r="G17" s="33" t="s">
        <v>143</v>
      </c>
      <c r="H17" s="3">
        <f t="shared" si="0"/>
        <v>4.7281323877068557E-3</v>
      </c>
      <c r="I17" s="3">
        <f t="shared" si="1"/>
        <v>3.9408866995073889E-3</v>
      </c>
      <c r="J17" s="3">
        <f t="shared" si="2"/>
        <v>5.9084194977843431E-3</v>
      </c>
    </row>
    <row r="18" spans="1:11">
      <c r="A18" s="33" t="s">
        <v>144</v>
      </c>
      <c r="B18" s="1">
        <v>6</v>
      </c>
      <c r="C18" s="1">
        <v>5</v>
      </c>
      <c r="D18" s="7">
        <v>1</v>
      </c>
      <c r="G18" s="33" t="s">
        <v>144</v>
      </c>
      <c r="H18" s="3">
        <f t="shared" si="0"/>
        <v>3.5460992907801418E-3</v>
      </c>
      <c r="I18" s="3">
        <f t="shared" si="1"/>
        <v>4.9261083743842365E-3</v>
      </c>
      <c r="J18" s="3">
        <f t="shared" si="2"/>
        <v>1.4771048744460858E-3</v>
      </c>
    </row>
    <row r="19" spans="1:11">
      <c r="A19" s="33" t="s">
        <v>145</v>
      </c>
      <c r="B19" s="1">
        <v>9</v>
      </c>
      <c r="C19" s="1">
        <v>5</v>
      </c>
      <c r="D19" s="7">
        <v>4</v>
      </c>
      <c r="G19" s="33" t="s">
        <v>145</v>
      </c>
      <c r="H19" s="3">
        <f t="shared" si="0"/>
        <v>5.3191489361702126E-3</v>
      </c>
      <c r="I19" s="3">
        <f t="shared" si="1"/>
        <v>4.9261083743842365E-3</v>
      </c>
      <c r="J19" s="3">
        <f t="shared" si="2"/>
        <v>5.9084194977843431E-3</v>
      </c>
    </row>
    <row r="20" spans="1:11">
      <c r="A20" s="33" t="s">
        <v>146</v>
      </c>
      <c r="B20" s="1">
        <v>40</v>
      </c>
      <c r="C20" s="1">
        <v>21</v>
      </c>
      <c r="D20" s="7">
        <v>19</v>
      </c>
      <c r="G20" s="33" t="s">
        <v>146</v>
      </c>
      <c r="H20" s="3">
        <f t="shared" si="0"/>
        <v>2.3640661938534278E-2</v>
      </c>
      <c r="I20" s="3">
        <f t="shared" si="1"/>
        <v>2.0689655172413793E-2</v>
      </c>
      <c r="J20" s="3">
        <f t="shared" si="2"/>
        <v>2.8064992614475627E-2</v>
      </c>
    </row>
    <row r="21" spans="1:11">
      <c r="A21" s="33" t="s">
        <v>147</v>
      </c>
      <c r="B21" s="1">
        <v>6</v>
      </c>
      <c r="C21" s="1">
        <v>3</v>
      </c>
      <c r="D21" s="7">
        <v>3</v>
      </c>
      <c r="G21" s="33" t="s">
        <v>147</v>
      </c>
      <c r="H21" s="3">
        <f t="shared" si="0"/>
        <v>3.5460992907801418E-3</v>
      </c>
      <c r="I21" s="3">
        <f t="shared" si="1"/>
        <v>2.9556650246305421E-3</v>
      </c>
      <c r="J21" s="3">
        <f t="shared" si="2"/>
        <v>4.4313146233382573E-3</v>
      </c>
    </row>
    <row r="22" spans="1:11">
      <c r="A22" s="33" t="s">
        <v>148</v>
      </c>
      <c r="B22" s="1">
        <v>10</v>
      </c>
      <c r="C22" s="1"/>
      <c r="D22" s="7">
        <v>10</v>
      </c>
      <c r="G22" s="33" t="s">
        <v>148</v>
      </c>
      <c r="H22" s="3">
        <f t="shared" si="0"/>
        <v>5.9101654846335696E-3</v>
      </c>
      <c r="I22" s="3">
        <f t="shared" si="1"/>
        <v>0</v>
      </c>
      <c r="J22" s="3">
        <f t="shared" si="2"/>
        <v>1.4771048744460856E-2</v>
      </c>
    </row>
    <row r="23" spans="1:11">
      <c r="A23" s="33" t="s">
        <v>149</v>
      </c>
      <c r="B23" s="1">
        <v>21</v>
      </c>
      <c r="C23" s="1"/>
      <c r="D23" s="7">
        <v>21</v>
      </c>
      <c r="G23" s="33" t="s">
        <v>149</v>
      </c>
      <c r="H23" s="3">
        <f t="shared" si="0"/>
        <v>1.2411347517730497E-2</v>
      </c>
      <c r="I23" s="3">
        <f t="shared" si="1"/>
        <v>0</v>
      </c>
      <c r="J23" s="3">
        <f t="shared" si="2"/>
        <v>3.10192023633678E-2</v>
      </c>
    </row>
    <row r="24" spans="1:11">
      <c r="A24" s="33" t="s">
        <v>150</v>
      </c>
      <c r="B24" s="1">
        <v>22</v>
      </c>
      <c r="C24" s="1">
        <v>22</v>
      </c>
      <c r="D24" s="7"/>
      <c r="G24" s="33" t="s">
        <v>150</v>
      </c>
      <c r="H24" s="3">
        <f t="shared" si="0"/>
        <v>1.3002364066193853E-2</v>
      </c>
      <c r="I24" s="3">
        <f t="shared" si="1"/>
        <v>2.167487684729064E-2</v>
      </c>
      <c r="J24" s="3">
        <f t="shared" si="2"/>
        <v>0</v>
      </c>
    </row>
    <row r="25" spans="1:11">
      <c r="A25" s="33" t="s">
        <v>151</v>
      </c>
      <c r="B25" s="1">
        <v>7</v>
      </c>
      <c r="C25" s="1">
        <v>4</v>
      </c>
      <c r="D25" s="7">
        <v>3</v>
      </c>
      <c r="G25" s="33" t="s">
        <v>151</v>
      </c>
      <c r="H25" s="3">
        <f t="shared" si="0"/>
        <v>4.1371158392434987E-3</v>
      </c>
      <c r="I25" s="3">
        <f t="shared" si="1"/>
        <v>3.9408866995073889E-3</v>
      </c>
      <c r="J25" s="3">
        <f t="shared" si="2"/>
        <v>4.4313146233382573E-3</v>
      </c>
    </row>
    <row r="26" spans="1:11">
      <c r="A26" s="33" t="s">
        <v>152</v>
      </c>
      <c r="B26" s="1">
        <v>22</v>
      </c>
      <c r="C26" s="1">
        <v>9</v>
      </c>
      <c r="D26" s="7">
        <v>13</v>
      </c>
      <c r="G26" s="33" t="s">
        <v>152</v>
      </c>
      <c r="H26" s="3">
        <f t="shared" si="0"/>
        <v>1.3002364066193853E-2</v>
      </c>
      <c r="I26" s="3">
        <f t="shared" si="1"/>
        <v>8.8669950738916262E-3</v>
      </c>
      <c r="J26" s="3">
        <f t="shared" si="2"/>
        <v>1.9202363367799114E-2</v>
      </c>
    </row>
    <row r="27" spans="1:11">
      <c r="A27" s="33" t="s">
        <v>153</v>
      </c>
      <c r="B27" s="1">
        <v>32</v>
      </c>
      <c r="C27" s="1">
        <v>13</v>
      </c>
      <c r="D27" s="7">
        <v>19</v>
      </c>
      <c r="G27" s="33" t="s">
        <v>153</v>
      </c>
      <c r="H27" s="3">
        <f t="shared" si="0"/>
        <v>1.8912529550827423E-2</v>
      </c>
      <c r="I27" s="3">
        <f t="shared" si="1"/>
        <v>1.2807881773399015E-2</v>
      </c>
      <c r="J27" s="3">
        <f t="shared" si="2"/>
        <v>2.8064992614475627E-2</v>
      </c>
    </row>
    <row r="28" spans="1:11">
      <c r="A28" s="33" t="s">
        <v>154</v>
      </c>
      <c r="B28" s="1">
        <v>3</v>
      </c>
      <c r="C28" s="1">
        <v>2</v>
      </c>
      <c r="D28" s="7">
        <v>1</v>
      </c>
      <c r="G28" s="33" t="s">
        <v>154</v>
      </c>
      <c r="H28" s="3">
        <f t="shared" si="0"/>
        <v>1.7730496453900709E-3</v>
      </c>
      <c r="I28" s="3">
        <f t="shared" si="1"/>
        <v>1.9704433497536944E-3</v>
      </c>
      <c r="J28" s="3">
        <f t="shared" si="2"/>
        <v>1.4771048744460858E-3</v>
      </c>
    </row>
    <row r="29" spans="1:11">
      <c r="A29" s="33" t="s">
        <v>155</v>
      </c>
      <c r="B29" s="1">
        <v>3</v>
      </c>
      <c r="C29" s="1"/>
      <c r="D29" s="7">
        <v>3</v>
      </c>
      <c r="G29" s="33" t="s">
        <v>155</v>
      </c>
      <c r="H29" s="3">
        <f t="shared" si="0"/>
        <v>1.7730496453900709E-3</v>
      </c>
      <c r="I29" s="3">
        <f t="shared" si="1"/>
        <v>0</v>
      </c>
      <c r="J29" s="3">
        <f t="shared" si="2"/>
        <v>4.4313146233382573E-3</v>
      </c>
    </row>
    <row r="30" spans="1:11">
      <c r="A30" s="33" t="s">
        <v>156</v>
      </c>
      <c r="B30" s="1">
        <v>17</v>
      </c>
      <c r="C30" s="1">
        <v>6</v>
      </c>
      <c r="D30" s="7">
        <v>11</v>
      </c>
      <c r="G30" s="33" t="s">
        <v>156</v>
      </c>
      <c r="H30" s="3">
        <f t="shared" si="0"/>
        <v>1.0047281323877069E-2</v>
      </c>
      <c r="I30" s="3">
        <f t="shared" si="1"/>
        <v>5.9113300492610842E-3</v>
      </c>
      <c r="J30" s="3">
        <f t="shared" si="2"/>
        <v>1.6248153618906941E-2</v>
      </c>
    </row>
    <row r="31" spans="1:11">
      <c r="A31" s="33" t="s">
        <v>157</v>
      </c>
      <c r="B31" s="1">
        <v>182</v>
      </c>
      <c r="C31" s="1">
        <v>100</v>
      </c>
      <c r="D31" s="7">
        <v>82</v>
      </c>
      <c r="G31" s="312" t="s">
        <v>157</v>
      </c>
      <c r="H31" s="306">
        <f t="shared" si="0"/>
        <v>0.10756501182033097</v>
      </c>
      <c r="I31" s="3">
        <f t="shared" si="1"/>
        <v>9.8522167487684734E-2</v>
      </c>
      <c r="J31" s="234">
        <f t="shared" si="2"/>
        <v>0.12112259970457903</v>
      </c>
      <c r="K31" s="121"/>
    </row>
    <row r="32" spans="1:11">
      <c r="A32" s="33" t="s">
        <v>158</v>
      </c>
      <c r="B32" s="1">
        <v>25</v>
      </c>
      <c r="C32" s="1">
        <v>10</v>
      </c>
      <c r="D32" s="7">
        <v>15</v>
      </c>
      <c r="G32" s="33" t="s">
        <v>158</v>
      </c>
      <c r="H32" s="3">
        <f t="shared" si="0"/>
        <v>1.4775413711583925E-2</v>
      </c>
      <c r="I32" s="3">
        <f t="shared" si="1"/>
        <v>9.852216748768473E-3</v>
      </c>
      <c r="J32" s="3">
        <f t="shared" si="2"/>
        <v>2.2156573116691284E-2</v>
      </c>
    </row>
    <row r="33" spans="1:11">
      <c r="A33" s="33" t="s">
        <v>159</v>
      </c>
      <c r="B33" s="1">
        <v>18</v>
      </c>
      <c r="C33" s="1">
        <v>15</v>
      </c>
      <c r="D33" s="7">
        <v>3</v>
      </c>
      <c r="G33" s="33" t="s">
        <v>159</v>
      </c>
      <c r="H33" s="3">
        <f t="shared" si="0"/>
        <v>1.0638297872340425E-2</v>
      </c>
      <c r="I33" s="3">
        <f t="shared" si="1"/>
        <v>1.4778325123152709E-2</v>
      </c>
      <c r="J33" s="3">
        <f t="shared" si="2"/>
        <v>4.4313146233382573E-3</v>
      </c>
    </row>
    <row r="34" spans="1:11">
      <c r="A34" s="33" t="s">
        <v>160</v>
      </c>
      <c r="B34" s="1">
        <v>101</v>
      </c>
      <c r="C34" s="1">
        <v>48</v>
      </c>
      <c r="D34" s="7">
        <v>53</v>
      </c>
      <c r="G34" s="312" t="s">
        <v>160</v>
      </c>
      <c r="H34" s="306">
        <f t="shared" si="0"/>
        <v>5.9692671394799057E-2</v>
      </c>
      <c r="I34" s="3">
        <f t="shared" si="1"/>
        <v>4.7290640394088673E-2</v>
      </c>
      <c r="J34" s="234">
        <f t="shared" si="2"/>
        <v>7.8286558345642535E-2</v>
      </c>
      <c r="K34" s="121"/>
    </row>
    <row r="35" spans="1:11">
      <c r="A35" s="33" t="s">
        <v>161</v>
      </c>
      <c r="B35" s="1">
        <v>1</v>
      </c>
      <c r="C35" s="1">
        <v>1</v>
      </c>
      <c r="D35" s="7"/>
      <c r="G35" s="33" t="s">
        <v>161</v>
      </c>
      <c r="H35" s="3">
        <f t="shared" si="0"/>
        <v>5.9101654846335696E-4</v>
      </c>
      <c r="I35" s="3">
        <f t="shared" si="1"/>
        <v>9.8522167487684722E-4</v>
      </c>
      <c r="J35" s="3">
        <f t="shared" si="2"/>
        <v>0</v>
      </c>
    </row>
    <row r="36" spans="1:11">
      <c r="A36" s="33" t="s">
        <v>162</v>
      </c>
      <c r="B36" s="1">
        <v>10</v>
      </c>
      <c r="C36" s="1">
        <v>4</v>
      </c>
      <c r="D36" s="7">
        <v>6</v>
      </c>
      <c r="G36" s="33" t="s">
        <v>162</v>
      </c>
      <c r="H36" s="3">
        <f t="shared" si="0"/>
        <v>5.9101654846335696E-3</v>
      </c>
      <c r="I36" s="3">
        <f t="shared" si="1"/>
        <v>3.9408866995073889E-3</v>
      </c>
      <c r="J36" s="3">
        <f t="shared" si="2"/>
        <v>8.8626292466765146E-3</v>
      </c>
    </row>
    <row r="37" spans="1:11">
      <c r="A37" s="33" t="s">
        <v>163</v>
      </c>
      <c r="B37" s="1">
        <v>3</v>
      </c>
      <c r="C37" s="1">
        <v>2</v>
      </c>
      <c r="D37" s="7">
        <v>1</v>
      </c>
      <c r="G37" s="33" t="s">
        <v>163</v>
      </c>
      <c r="H37" s="3">
        <f t="shared" si="0"/>
        <v>1.7730496453900709E-3</v>
      </c>
      <c r="I37" s="3">
        <f t="shared" si="1"/>
        <v>1.9704433497536944E-3</v>
      </c>
      <c r="J37" s="3">
        <f t="shared" si="2"/>
        <v>1.4771048744460858E-3</v>
      </c>
    </row>
    <row r="38" spans="1:11">
      <c r="A38" s="33" t="s">
        <v>164</v>
      </c>
      <c r="B38" s="1">
        <v>5</v>
      </c>
      <c r="C38" s="1">
        <v>1</v>
      </c>
      <c r="D38" s="7">
        <v>4</v>
      </c>
      <c r="G38" s="33" t="s">
        <v>164</v>
      </c>
      <c r="H38" s="3">
        <f t="shared" ref="H38:H68" si="3">B38/$B$4</f>
        <v>2.9550827423167848E-3</v>
      </c>
      <c r="I38" s="3">
        <f t="shared" ref="I38:I68" si="4">C38/$C$4</f>
        <v>9.8522167487684722E-4</v>
      </c>
      <c r="J38" s="3">
        <f t="shared" ref="J38:J68" si="5">D38/$D$4</f>
        <v>5.9084194977843431E-3</v>
      </c>
    </row>
    <row r="39" spans="1:11">
      <c r="A39" s="33" t="s">
        <v>165</v>
      </c>
      <c r="B39" s="1">
        <v>2</v>
      </c>
      <c r="C39" s="1">
        <v>1</v>
      </c>
      <c r="D39" s="7">
        <v>1</v>
      </c>
      <c r="G39" s="33" t="s">
        <v>165</v>
      </c>
      <c r="H39" s="3">
        <f t="shared" si="3"/>
        <v>1.1820330969267139E-3</v>
      </c>
      <c r="I39" s="3">
        <f t="shared" si="4"/>
        <v>9.8522167487684722E-4</v>
      </c>
      <c r="J39" s="3">
        <f t="shared" si="5"/>
        <v>1.4771048744460858E-3</v>
      </c>
    </row>
    <row r="40" spans="1:11">
      <c r="A40" s="33" t="s">
        <v>166</v>
      </c>
      <c r="B40" s="1">
        <v>76</v>
      </c>
      <c r="C40" s="1">
        <v>39</v>
      </c>
      <c r="D40" s="7">
        <v>37</v>
      </c>
      <c r="G40" s="33" t="s">
        <v>166</v>
      </c>
      <c r="H40" s="161">
        <f t="shared" si="3"/>
        <v>4.4917257683215132E-2</v>
      </c>
      <c r="I40" s="3">
        <f t="shared" si="4"/>
        <v>3.8423645320197042E-2</v>
      </c>
      <c r="J40" s="234">
        <f t="shared" si="5"/>
        <v>5.4652880354505169E-2</v>
      </c>
      <c r="K40" s="121"/>
    </row>
    <row r="41" spans="1:11">
      <c r="A41" s="33" t="s">
        <v>167</v>
      </c>
      <c r="B41" s="1">
        <v>35</v>
      </c>
      <c r="C41" s="1">
        <v>16</v>
      </c>
      <c r="D41" s="7">
        <v>19</v>
      </c>
      <c r="G41" s="33" t="s">
        <v>167</v>
      </c>
      <c r="H41" s="3">
        <f t="shared" si="3"/>
        <v>2.0685579196217493E-2</v>
      </c>
      <c r="I41" s="3">
        <f t="shared" si="4"/>
        <v>1.5763546798029555E-2</v>
      </c>
      <c r="J41" s="3">
        <f t="shared" si="5"/>
        <v>2.8064992614475627E-2</v>
      </c>
    </row>
    <row r="42" spans="1:11">
      <c r="A42" s="33" t="s">
        <v>168</v>
      </c>
      <c r="B42" s="1">
        <v>24</v>
      </c>
      <c r="C42" s="1">
        <v>13</v>
      </c>
      <c r="D42" s="7">
        <v>11</v>
      </c>
      <c r="G42" s="33" t="s">
        <v>168</v>
      </c>
      <c r="H42" s="3">
        <f t="shared" si="3"/>
        <v>1.4184397163120567E-2</v>
      </c>
      <c r="I42" s="3">
        <f t="shared" si="4"/>
        <v>1.2807881773399015E-2</v>
      </c>
      <c r="J42" s="3">
        <f t="shared" si="5"/>
        <v>1.6248153618906941E-2</v>
      </c>
    </row>
    <row r="43" spans="1:11">
      <c r="A43" s="33" t="s">
        <v>117</v>
      </c>
      <c r="B43" s="1">
        <v>71</v>
      </c>
      <c r="C43" s="1">
        <v>45</v>
      </c>
      <c r="D43" s="7">
        <v>26</v>
      </c>
      <c r="G43" s="33" t="s">
        <v>117</v>
      </c>
      <c r="H43" s="161">
        <f t="shared" si="3"/>
        <v>4.1962174940898343E-2</v>
      </c>
      <c r="I43" s="3">
        <f t="shared" si="4"/>
        <v>4.4334975369458129E-2</v>
      </c>
      <c r="J43" s="234">
        <f t="shared" si="5"/>
        <v>3.8404726735598228E-2</v>
      </c>
      <c r="K43" s="121"/>
    </row>
    <row r="44" spans="1:11">
      <c r="A44" s="33" t="s">
        <v>118</v>
      </c>
      <c r="B44" s="1">
        <v>1</v>
      </c>
      <c r="C44" s="1">
        <v>1</v>
      </c>
      <c r="D44" s="7"/>
      <c r="G44" s="33" t="s">
        <v>118</v>
      </c>
      <c r="H44" s="3">
        <f t="shared" si="3"/>
        <v>5.9101654846335696E-4</v>
      </c>
      <c r="I44" s="3">
        <f t="shared" si="4"/>
        <v>9.8522167487684722E-4</v>
      </c>
      <c r="J44" s="3">
        <f t="shared" si="5"/>
        <v>0</v>
      </c>
    </row>
    <row r="45" spans="1:11">
      <c r="A45" s="33" t="s">
        <v>119</v>
      </c>
      <c r="B45" s="1">
        <v>2</v>
      </c>
      <c r="C45" s="1">
        <v>2</v>
      </c>
      <c r="D45" s="7"/>
      <c r="G45" s="33" t="s">
        <v>119</v>
      </c>
      <c r="H45" s="3">
        <f t="shared" si="3"/>
        <v>1.1820330969267139E-3</v>
      </c>
      <c r="I45" s="3">
        <f t="shared" si="4"/>
        <v>1.9704433497536944E-3</v>
      </c>
      <c r="J45" s="3">
        <f t="shared" si="5"/>
        <v>0</v>
      </c>
    </row>
    <row r="46" spans="1:11">
      <c r="A46" s="33" t="s">
        <v>120</v>
      </c>
      <c r="B46" s="1">
        <v>1</v>
      </c>
      <c r="C46" s="1">
        <v>1</v>
      </c>
      <c r="D46" s="7"/>
      <c r="G46" s="33" t="s">
        <v>120</v>
      </c>
      <c r="H46" s="3">
        <f t="shared" si="3"/>
        <v>5.9101654846335696E-4</v>
      </c>
      <c r="I46" s="3">
        <f t="shared" si="4"/>
        <v>9.8522167487684722E-4</v>
      </c>
      <c r="J46" s="3">
        <f t="shared" si="5"/>
        <v>0</v>
      </c>
    </row>
    <row r="47" spans="1:11">
      <c r="A47" s="33" t="s">
        <v>121</v>
      </c>
      <c r="B47" s="1">
        <v>9</v>
      </c>
      <c r="C47" s="1">
        <v>9</v>
      </c>
      <c r="D47" s="7"/>
      <c r="G47" s="33" t="s">
        <v>121</v>
      </c>
      <c r="H47" s="3">
        <f t="shared" si="3"/>
        <v>5.3191489361702126E-3</v>
      </c>
      <c r="I47" s="3">
        <f t="shared" si="4"/>
        <v>8.8669950738916262E-3</v>
      </c>
      <c r="J47" s="3">
        <f t="shared" si="5"/>
        <v>0</v>
      </c>
    </row>
    <row r="48" spans="1:11">
      <c r="A48" s="33" t="s">
        <v>122</v>
      </c>
      <c r="B48" s="1">
        <v>3</v>
      </c>
      <c r="C48" s="1">
        <v>1</v>
      </c>
      <c r="D48" s="7">
        <v>2</v>
      </c>
      <c r="G48" s="33" t="s">
        <v>122</v>
      </c>
      <c r="H48" s="3">
        <f t="shared" si="3"/>
        <v>1.7730496453900709E-3</v>
      </c>
      <c r="I48" s="3">
        <f t="shared" si="4"/>
        <v>9.8522167487684722E-4</v>
      </c>
      <c r="J48" s="3">
        <f t="shared" si="5"/>
        <v>2.9542097488921715E-3</v>
      </c>
    </row>
    <row r="49" spans="1:11">
      <c r="A49" s="33" t="s">
        <v>123</v>
      </c>
      <c r="B49" s="1">
        <v>1</v>
      </c>
      <c r="C49" s="1"/>
      <c r="D49" s="7">
        <v>1</v>
      </c>
      <c r="G49" s="33" t="s">
        <v>123</v>
      </c>
      <c r="H49" s="3">
        <f t="shared" si="3"/>
        <v>5.9101654846335696E-4</v>
      </c>
      <c r="I49" s="3">
        <f t="shared" si="4"/>
        <v>0</v>
      </c>
      <c r="J49" s="3">
        <f t="shared" si="5"/>
        <v>1.4771048744460858E-3</v>
      </c>
    </row>
    <row r="50" spans="1:11">
      <c r="A50" s="33" t="s">
        <v>124</v>
      </c>
      <c r="B50" s="1">
        <v>28</v>
      </c>
      <c r="C50" s="1">
        <v>22</v>
      </c>
      <c r="D50" s="7">
        <v>6</v>
      </c>
      <c r="G50" s="33" t="s">
        <v>124</v>
      </c>
      <c r="H50" s="3">
        <f t="shared" si="3"/>
        <v>1.6548463356973995E-2</v>
      </c>
      <c r="I50" s="3">
        <f t="shared" si="4"/>
        <v>2.167487684729064E-2</v>
      </c>
      <c r="J50" s="3">
        <f t="shared" si="5"/>
        <v>8.8626292466765146E-3</v>
      </c>
    </row>
    <row r="51" spans="1:11">
      <c r="A51" s="33" t="s">
        <v>125</v>
      </c>
      <c r="B51" s="1">
        <v>17</v>
      </c>
      <c r="C51" s="1">
        <v>14</v>
      </c>
      <c r="D51" s="7">
        <v>3</v>
      </c>
      <c r="G51" s="33" t="s">
        <v>125</v>
      </c>
      <c r="H51" s="3">
        <f t="shared" si="3"/>
        <v>1.0047281323877069E-2</v>
      </c>
      <c r="I51" s="3">
        <f t="shared" si="4"/>
        <v>1.3793103448275862E-2</v>
      </c>
      <c r="J51" s="3">
        <f t="shared" si="5"/>
        <v>4.4313146233382573E-3</v>
      </c>
    </row>
    <row r="52" spans="1:11">
      <c r="A52" s="33" t="s">
        <v>126</v>
      </c>
      <c r="B52" s="1">
        <v>322</v>
      </c>
      <c r="C52" s="1">
        <v>295</v>
      </c>
      <c r="D52" s="7">
        <v>27</v>
      </c>
      <c r="G52" s="33" t="s">
        <v>126</v>
      </c>
      <c r="H52" s="161">
        <f t="shared" si="3"/>
        <v>0.19030732860520094</v>
      </c>
      <c r="I52" s="3">
        <f t="shared" si="4"/>
        <v>0.29064039408866993</v>
      </c>
      <c r="J52" s="10">
        <f t="shared" si="5"/>
        <v>3.9881831610044313E-2</v>
      </c>
    </row>
    <row r="53" spans="1:11">
      <c r="A53" s="33" t="s">
        <v>127</v>
      </c>
      <c r="B53" s="1">
        <v>6</v>
      </c>
      <c r="C53" s="1">
        <v>5</v>
      </c>
      <c r="D53" s="7">
        <v>1</v>
      </c>
      <c r="G53" s="33" t="s">
        <v>127</v>
      </c>
      <c r="H53" s="3">
        <f t="shared" si="3"/>
        <v>3.5460992907801418E-3</v>
      </c>
      <c r="I53" s="3">
        <f t="shared" si="4"/>
        <v>4.9261083743842365E-3</v>
      </c>
      <c r="J53" s="3">
        <f t="shared" si="5"/>
        <v>1.4771048744460858E-3</v>
      </c>
    </row>
    <row r="54" spans="1:11">
      <c r="A54" s="33" t="s">
        <v>169</v>
      </c>
      <c r="B54" s="1">
        <v>42</v>
      </c>
      <c r="C54" s="1">
        <v>19</v>
      </c>
      <c r="D54" s="7">
        <v>23</v>
      </c>
      <c r="G54" s="33" t="s">
        <v>169</v>
      </c>
      <c r="H54" s="161">
        <f t="shared" si="3"/>
        <v>2.4822695035460994E-2</v>
      </c>
      <c r="I54" s="3">
        <f t="shared" si="4"/>
        <v>1.8719211822660099E-2</v>
      </c>
      <c r="J54" s="234">
        <f t="shared" si="5"/>
        <v>3.3973412112259974E-2</v>
      </c>
      <c r="K54" s="121"/>
    </row>
    <row r="55" spans="1:11">
      <c r="A55" s="33" t="s">
        <v>170</v>
      </c>
      <c r="B55" s="1">
        <v>42</v>
      </c>
      <c r="C55" s="1">
        <v>31</v>
      </c>
      <c r="D55" s="7">
        <v>11</v>
      </c>
      <c r="G55" s="33" t="s">
        <v>170</v>
      </c>
      <c r="H55" s="161">
        <f t="shared" si="3"/>
        <v>2.4822695035460994E-2</v>
      </c>
      <c r="I55" s="3">
        <f t="shared" si="4"/>
        <v>3.0541871921182268E-2</v>
      </c>
      <c r="J55" s="234">
        <f t="shared" si="5"/>
        <v>1.6248153618906941E-2</v>
      </c>
      <c r="K55" s="121"/>
    </row>
    <row r="56" spans="1:11">
      <c r="A56" s="33" t="s">
        <v>171</v>
      </c>
      <c r="B56" s="1">
        <v>17</v>
      </c>
      <c r="C56" s="1">
        <v>9</v>
      </c>
      <c r="D56" s="7">
        <v>8</v>
      </c>
      <c r="G56" s="33" t="s">
        <v>171</v>
      </c>
      <c r="H56" s="3">
        <f t="shared" si="3"/>
        <v>1.0047281323877069E-2</v>
      </c>
      <c r="I56" s="3">
        <f t="shared" si="4"/>
        <v>8.8669950738916262E-3</v>
      </c>
      <c r="J56" s="3">
        <f t="shared" si="5"/>
        <v>1.1816838995568686E-2</v>
      </c>
    </row>
    <row r="57" spans="1:11">
      <c r="A57" s="33" t="s">
        <v>172</v>
      </c>
      <c r="B57" s="1">
        <v>41</v>
      </c>
      <c r="C57" s="1">
        <v>25</v>
      </c>
      <c r="D57" s="7">
        <v>16</v>
      </c>
      <c r="G57" s="33" t="s">
        <v>172</v>
      </c>
      <c r="H57" s="3">
        <f t="shared" si="3"/>
        <v>2.4231678486997636E-2</v>
      </c>
      <c r="I57" s="3">
        <f t="shared" si="4"/>
        <v>2.4630541871921183E-2</v>
      </c>
      <c r="J57" s="3">
        <f t="shared" si="5"/>
        <v>2.3633677991137372E-2</v>
      </c>
    </row>
    <row r="58" spans="1:11">
      <c r="A58" s="33" t="s">
        <v>173</v>
      </c>
      <c r="B58" s="1">
        <v>1</v>
      </c>
      <c r="C58" s="1"/>
      <c r="D58" s="7">
        <v>1</v>
      </c>
      <c r="G58" s="33" t="s">
        <v>173</v>
      </c>
      <c r="H58" s="3">
        <f t="shared" si="3"/>
        <v>5.9101654846335696E-4</v>
      </c>
      <c r="I58" s="3">
        <f t="shared" si="4"/>
        <v>0</v>
      </c>
      <c r="J58" s="3">
        <f t="shared" si="5"/>
        <v>1.4771048744460858E-3</v>
      </c>
    </row>
    <row r="59" spans="1:11">
      <c r="A59" s="33" t="s">
        <v>174</v>
      </c>
      <c r="B59" s="1">
        <v>11</v>
      </c>
      <c r="C59" s="1">
        <v>7</v>
      </c>
      <c r="D59" s="7">
        <v>4</v>
      </c>
      <c r="G59" s="33" t="s">
        <v>174</v>
      </c>
      <c r="H59" s="3">
        <f t="shared" si="3"/>
        <v>6.5011820330969266E-3</v>
      </c>
      <c r="I59" s="3">
        <f t="shared" si="4"/>
        <v>6.8965517241379309E-3</v>
      </c>
      <c r="J59" s="3">
        <f t="shared" si="5"/>
        <v>5.9084194977843431E-3</v>
      </c>
    </row>
    <row r="60" spans="1:11">
      <c r="A60" s="33" t="s">
        <v>175</v>
      </c>
      <c r="B60" s="1">
        <v>9</v>
      </c>
      <c r="C60" s="1">
        <v>2</v>
      </c>
      <c r="D60" s="7">
        <v>7</v>
      </c>
      <c r="G60" s="33" t="s">
        <v>175</v>
      </c>
      <c r="H60" s="3">
        <f t="shared" si="3"/>
        <v>5.3191489361702126E-3</v>
      </c>
      <c r="I60" s="3">
        <f t="shared" si="4"/>
        <v>1.9704433497536944E-3</v>
      </c>
      <c r="J60" s="3">
        <f t="shared" si="5"/>
        <v>1.03397341211226E-2</v>
      </c>
    </row>
    <row r="61" spans="1:11">
      <c r="A61" s="33" t="s">
        <v>176</v>
      </c>
      <c r="B61" s="1">
        <v>15</v>
      </c>
      <c r="C61" s="1">
        <v>12</v>
      </c>
      <c r="D61" s="7">
        <v>3</v>
      </c>
      <c r="G61" s="33" t="s">
        <v>176</v>
      </c>
      <c r="H61" s="3">
        <f t="shared" si="3"/>
        <v>8.8652482269503553E-3</v>
      </c>
      <c r="I61" s="3">
        <f t="shared" si="4"/>
        <v>1.1822660098522168E-2</v>
      </c>
      <c r="J61" s="3">
        <f t="shared" si="5"/>
        <v>4.4313146233382573E-3</v>
      </c>
    </row>
    <row r="62" spans="1:11">
      <c r="A62" s="33" t="s">
        <v>177</v>
      </c>
      <c r="B62" s="1">
        <v>32</v>
      </c>
      <c r="C62" s="1">
        <v>16</v>
      </c>
      <c r="D62" s="7">
        <v>16</v>
      </c>
      <c r="G62" s="33" t="s">
        <v>177</v>
      </c>
      <c r="H62" s="3">
        <f t="shared" si="3"/>
        <v>1.8912529550827423E-2</v>
      </c>
      <c r="I62" s="3">
        <f t="shared" si="4"/>
        <v>1.5763546798029555E-2</v>
      </c>
      <c r="J62" s="3">
        <f t="shared" si="5"/>
        <v>2.3633677991137372E-2</v>
      </c>
    </row>
    <row r="63" spans="1:11">
      <c r="A63" s="33" t="s">
        <v>178</v>
      </c>
      <c r="B63" s="1">
        <v>26</v>
      </c>
      <c r="C63" s="1">
        <v>9</v>
      </c>
      <c r="D63" s="7">
        <v>17</v>
      </c>
      <c r="G63" s="33" t="s">
        <v>178</v>
      </c>
      <c r="H63" s="3">
        <f t="shared" si="3"/>
        <v>1.5366430260047281E-2</v>
      </c>
      <c r="I63" s="3">
        <f t="shared" si="4"/>
        <v>8.8669950738916262E-3</v>
      </c>
      <c r="J63" s="3">
        <f t="shared" si="5"/>
        <v>2.5110782865583457E-2</v>
      </c>
    </row>
    <row r="64" spans="1:11">
      <c r="A64" s="33" t="s">
        <v>179</v>
      </c>
      <c r="B64" s="1">
        <v>1</v>
      </c>
      <c r="C64" s="1">
        <v>1</v>
      </c>
      <c r="D64" s="7"/>
      <c r="G64" s="33" t="s">
        <v>179</v>
      </c>
      <c r="H64" s="3">
        <f t="shared" si="3"/>
        <v>5.9101654846335696E-4</v>
      </c>
      <c r="I64" s="3">
        <f t="shared" si="4"/>
        <v>9.8522167487684722E-4</v>
      </c>
      <c r="J64" s="3">
        <f t="shared" si="5"/>
        <v>0</v>
      </c>
    </row>
    <row r="65" spans="1:11">
      <c r="A65" s="33" t="s">
        <v>180</v>
      </c>
      <c r="B65" s="1">
        <v>15</v>
      </c>
      <c r="C65" s="1"/>
      <c r="D65" s="7">
        <v>15</v>
      </c>
      <c r="G65" s="33" t="s">
        <v>180</v>
      </c>
      <c r="H65" s="3">
        <f t="shared" si="3"/>
        <v>8.8652482269503553E-3</v>
      </c>
      <c r="I65" s="3">
        <f t="shared" si="4"/>
        <v>0</v>
      </c>
      <c r="J65" s="3">
        <f t="shared" si="5"/>
        <v>2.2156573116691284E-2</v>
      </c>
    </row>
    <row r="66" spans="1:11">
      <c r="A66" s="33" t="s">
        <v>181</v>
      </c>
      <c r="B66" s="1">
        <v>50</v>
      </c>
      <c r="C66" s="1">
        <v>32</v>
      </c>
      <c r="D66" s="7">
        <v>18</v>
      </c>
      <c r="G66" s="33" t="s">
        <v>181</v>
      </c>
      <c r="H66" s="161">
        <f t="shared" si="3"/>
        <v>2.955082742316785E-2</v>
      </c>
      <c r="I66" s="3">
        <f t="shared" si="4"/>
        <v>3.1527093596059111E-2</v>
      </c>
      <c r="J66" s="234">
        <f t="shared" si="5"/>
        <v>2.6587887740029542E-2</v>
      </c>
      <c r="K66" s="121"/>
    </row>
    <row r="67" spans="1:11">
      <c r="A67" s="33" t="s">
        <v>182</v>
      </c>
      <c r="B67" s="1">
        <v>27</v>
      </c>
      <c r="C67" s="1">
        <v>10</v>
      </c>
      <c r="D67" s="7">
        <v>17</v>
      </c>
      <c r="G67" s="33" t="s">
        <v>182</v>
      </c>
      <c r="H67" s="3">
        <f t="shared" si="3"/>
        <v>1.5957446808510637E-2</v>
      </c>
      <c r="I67" s="3">
        <f t="shared" si="4"/>
        <v>9.852216748768473E-3</v>
      </c>
      <c r="J67" s="3">
        <f t="shared" si="5"/>
        <v>2.5110782865583457E-2</v>
      </c>
    </row>
    <row r="68" spans="1:11" ht="15" thickBot="1">
      <c r="A68" s="36" t="s">
        <v>183</v>
      </c>
      <c r="B68" s="5">
        <v>11</v>
      </c>
      <c r="C68" s="5">
        <v>5</v>
      </c>
      <c r="D68" s="8">
        <v>6</v>
      </c>
      <c r="G68" s="36" t="s">
        <v>183</v>
      </c>
      <c r="H68" s="304">
        <f t="shared" si="3"/>
        <v>6.5011820330969266E-3</v>
      </c>
      <c r="I68" s="304">
        <f t="shared" si="4"/>
        <v>4.9261083743842365E-3</v>
      </c>
      <c r="J68" s="304">
        <f t="shared" si="5"/>
        <v>8.8626292466765146E-3</v>
      </c>
    </row>
    <row r="69" spans="1:11" ht="15" thickBot="1">
      <c r="G69" s="309"/>
      <c r="H69" s="310">
        <f>SUM(H5:H68)</f>
        <v>1</v>
      </c>
      <c r="I69" s="311">
        <f>SUM(I5:I68)</f>
        <v>1.0000000000000002</v>
      </c>
      <c r="J69" s="310">
        <f>SUM(J5:J68)</f>
        <v>0.99999999999999978</v>
      </c>
    </row>
    <row r="70" spans="1:11" ht="15" thickBot="1">
      <c r="I70" s="309"/>
    </row>
    <row r="71" spans="1:11" ht="15" thickBot="1">
      <c r="A71" s="429" t="s">
        <v>356</v>
      </c>
      <c r="B71" s="439" t="s">
        <v>45</v>
      </c>
      <c r="C71" s="435" t="s">
        <v>45</v>
      </c>
      <c r="D71" s="436"/>
    </row>
    <row r="72" spans="1:11" ht="15" thickBot="1">
      <c r="A72" s="430"/>
      <c r="B72" s="441"/>
      <c r="C72" s="437" t="s">
        <v>77</v>
      </c>
      <c r="D72" s="437" t="s">
        <v>78</v>
      </c>
      <c r="G72" s="432" t="s">
        <v>356</v>
      </c>
    </row>
    <row r="73" spans="1:11" ht="15" thickBot="1">
      <c r="A73" s="431"/>
      <c r="B73" s="440"/>
      <c r="C73" s="438"/>
      <c r="D73" s="438"/>
      <c r="G73" s="433"/>
      <c r="H73" s="307"/>
      <c r="I73" s="435" t="s">
        <v>45</v>
      </c>
      <c r="J73" s="436"/>
    </row>
    <row r="74" spans="1:11" ht="15" thickBot="1">
      <c r="A74" s="137" t="s">
        <v>45</v>
      </c>
      <c r="B74" s="14">
        <v>493</v>
      </c>
      <c r="C74" s="138">
        <v>276</v>
      </c>
      <c r="D74" s="167">
        <v>217</v>
      </c>
      <c r="G74" s="434"/>
      <c r="H74" s="166" t="s">
        <v>45</v>
      </c>
      <c r="I74" s="305" t="s">
        <v>77</v>
      </c>
      <c r="J74" s="305" t="s">
        <v>78</v>
      </c>
    </row>
    <row r="75" spans="1:11" hidden="1">
      <c r="A75" s="33" t="s">
        <v>131</v>
      </c>
      <c r="B75" s="15">
        <v>11</v>
      </c>
      <c r="C75" s="1">
        <v>4</v>
      </c>
      <c r="D75" s="7">
        <v>7</v>
      </c>
      <c r="G75" s="137" t="s">
        <v>131</v>
      </c>
      <c r="H75" s="308">
        <f>B75/$B$74</f>
        <v>2.231237322515213E-2</v>
      </c>
      <c r="I75" s="164">
        <f>C75/$C$74</f>
        <v>1.4492753623188406E-2</v>
      </c>
      <c r="J75" s="165">
        <f>D75/$D$74</f>
        <v>3.2258064516129031E-2</v>
      </c>
    </row>
    <row r="76" spans="1:11" hidden="1">
      <c r="A76" s="33" t="s">
        <v>132</v>
      </c>
      <c r="B76" s="15">
        <v>4</v>
      </c>
      <c r="C76" s="1">
        <v>2</v>
      </c>
      <c r="D76" s="7">
        <v>2</v>
      </c>
      <c r="G76" s="33" t="s">
        <v>132</v>
      </c>
      <c r="H76" s="161">
        <f t="shared" ref="H76:H107" si="6">B76/$B$74</f>
        <v>8.1135902636916835E-3</v>
      </c>
      <c r="I76" s="3">
        <f t="shared" ref="I76:I107" si="7">C76/$C$74</f>
        <v>7.246376811594203E-3</v>
      </c>
      <c r="J76" s="10">
        <f t="shared" ref="J76:J107" si="8">D76/$D$74</f>
        <v>9.2165898617511521E-3</v>
      </c>
    </row>
    <row r="77" spans="1:11" hidden="1">
      <c r="A77" s="33" t="s">
        <v>134</v>
      </c>
      <c r="B77" s="15">
        <v>1</v>
      </c>
      <c r="C77" s="1">
        <v>1</v>
      </c>
      <c r="D77" s="7" t="s">
        <v>130</v>
      </c>
      <c r="G77" s="33" t="s">
        <v>134</v>
      </c>
      <c r="H77" s="161">
        <f t="shared" si="6"/>
        <v>2.0283975659229209E-3</v>
      </c>
      <c r="I77" s="3">
        <f t="shared" si="7"/>
        <v>3.6231884057971015E-3</v>
      </c>
      <c r="J77" s="10"/>
    </row>
    <row r="78" spans="1:11" hidden="1">
      <c r="A78" s="33" t="s">
        <v>135</v>
      </c>
      <c r="B78" s="15">
        <v>3</v>
      </c>
      <c r="C78" s="1">
        <v>1</v>
      </c>
      <c r="D78" s="7">
        <v>2</v>
      </c>
      <c r="G78" s="33" t="s">
        <v>135</v>
      </c>
      <c r="H78" s="161">
        <f t="shared" si="6"/>
        <v>6.0851926977687626E-3</v>
      </c>
      <c r="I78" s="3">
        <f t="shared" si="7"/>
        <v>3.6231884057971015E-3</v>
      </c>
      <c r="J78" s="10">
        <f t="shared" si="8"/>
        <v>9.2165898617511521E-3</v>
      </c>
    </row>
    <row r="79" spans="1:11" hidden="1">
      <c r="A79" s="33" t="s">
        <v>136</v>
      </c>
      <c r="B79" s="15">
        <v>8</v>
      </c>
      <c r="C79" s="1">
        <v>4</v>
      </c>
      <c r="D79" s="7">
        <v>4</v>
      </c>
      <c r="G79" s="33" t="s">
        <v>136</v>
      </c>
      <c r="H79" s="161">
        <f t="shared" si="6"/>
        <v>1.6227180527383367E-2</v>
      </c>
      <c r="I79" s="3">
        <f t="shared" si="7"/>
        <v>1.4492753623188406E-2</v>
      </c>
      <c r="J79" s="10">
        <f t="shared" si="8"/>
        <v>1.8433179723502304E-2</v>
      </c>
    </row>
    <row r="80" spans="1:11" hidden="1">
      <c r="A80" s="33" t="s">
        <v>138</v>
      </c>
      <c r="B80" s="15">
        <v>8</v>
      </c>
      <c r="C80" s="1">
        <v>5</v>
      </c>
      <c r="D80" s="7">
        <v>3</v>
      </c>
      <c r="G80" s="33" t="s">
        <v>138</v>
      </c>
      <c r="H80" s="161">
        <f t="shared" si="6"/>
        <v>1.6227180527383367E-2</v>
      </c>
      <c r="I80" s="3">
        <f t="shared" si="7"/>
        <v>1.8115942028985508E-2</v>
      </c>
      <c r="J80" s="10">
        <f t="shared" si="8"/>
        <v>1.3824884792626729E-2</v>
      </c>
    </row>
    <row r="81" spans="1:10">
      <c r="A81" s="33" t="s">
        <v>139</v>
      </c>
      <c r="B81" s="15">
        <v>22</v>
      </c>
      <c r="C81" s="1">
        <v>10</v>
      </c>
      <c r="D81" s="7">
        <v>12</v>
      </c>
      <c r="G81" s="33" t="s">
        <v>139</v>
      </c>
      <c r="H81" s="161">
        <f t="shared" si="6"/>
        <v>4.4624746450304259E-2</v>
      </c>
      <c r="I81" s="3">
        <f t="shared" si="7"/>
        <v>3.6231884057971016E-2</v>
      </c>
      <c r="J81" s="10">
        <f t="shared" si="8"/>
        <v>5.5299539170506916E-2</v>
      </c>
    </row>
    <row r="82" spans="1:10" hidden="1">
      <c r="A82" s="33" t="s">
        <v>140</v>
      </c>
      <c r="B82" s="15">
        <v>2</v>
      </c>
      <c r="C82" s="1">
        <v>1</v>
      </c>
      <c r="D82" s="7">
        <v>1</v>
      </c>
      <c r="G82" s="33" t="s">
        <v>140</v>
      </c>
      <c r="H82" s="161">
        <f t="shared" si="6"/>
        <v>4.0567951318458417E-3</v>
      </c>
      <c r="I82" s="3">
        <f t="shared" si="7"/>
        <v>3.6231884057971015E-3</v>
      </c>
      <c r="J82" s="10">
        <f t="shared" si="8"/>
        <v>4.608294930875576E-3</v>
      </c>
    </row>
    <row r="83" spans="1:10" hidden="1">
      <c r="A83" s="33" t="s">
        <v>141</v>
      </c>
      <c r="B83" s="15">
        <v>1</v>
      </c>
      <c r="C83" s="1" t="s">
        <v>130</v>
      </c>
      <c r="D83" s="7">
        <v>1</v>
      </c>
      <c r="G83" s="33" t="s">
        <v>141</v>
      </c>
      <c r="H83" s="161">
        <f t="shared" si="6"/>
        <v>2.0283975659229209E-3</v>
      </c>
      <c r="I83" s="3"/>
      <c r="J83" s="10">
        <f t="shared" si="8"/>
        <v>4.608294930875576E-3</v>
      </c>
    </row>
    <row r="84" spans="1:10" hidden="1">
      <c r="A84" s="33" t="s">
        <v>142</v>
      </c>
      <c r="B84" s="15">
        <v>1</v>
      </c>
      <c r="C84" s="1" t="s">
        <v>130</v>
      </c>
      <c r="D84" s="7">
        <v>1</v>
      </c>
      <c r="G84" s="33" t="s">
        <v>142</v>
      </c>
      <c r="H84" s="161">
        <f t="shared" si="6"/>
        <v>2.0283975659229209E-3</v>
      </c>
      <c r="I84" s="3"/>
      <c r="J84" s="10">
        <f t="shared" si="8"/>
        <v>4.608294930875576E-3</v>
      </c>
    </row>
    <row r="85" spans="1:10" hidden="1">
      <c r="A85" s="33" t="s">
        <v>143</v>
      </c>
      <c r="B85" s="15">
        <v>2</v>
      </c>
      <c r="C85" s="1">
        <v>1</v>
      </c>
      <c r="D85" s="7">
        <v>1</v>
      </c>
      <c r="G85" s="33" t="s">
        <v>143</v>
      </c>
      <c r="H85" s="161">
        <f t="shared" si="6"/>
        <v>4.0567951318458417E-3</v>
      </c>
      <c r="I85" s="3">
        <f t="shared" si="7"/>
        <v>3.6231884057971015E-3</v>
      </c>
      <c r="J85" s="10">
        <f t="shared" si="8"/>
        <v>4.608294930875576E-3</v>
      </c>
    </row>
    <row r="86" spans="1:10" hidden="1">
      <c r="A86" s="33" t="s">
        <v>145</v>
      </c>
      <c r="B86" s="15">
        <v>5</v>
      </c>
      <c r="C86" s="1">
        <v>1</v>
      </c>
      <c r="D86" s="7">
        <v>4</v>
      </c>
      <c r="G86" s="33" t="s">
        <v>145</v>
      </c>
      <c r="H86" s="161">
        <f t="shared" si="6"/>
        <v>1.0141987829614604E-2</v>
      </c>
      <c r="I86" s="3">
        <f t="shared" si="7"/>
        <v>3.6231884057971015E-3</v>
      </c>
      <c r="J86" s="10">
        <f t="shared" si="8"/>
        <v>1.8433179723502304E-2</v>
      </c>
    </row>
    <row r="87" spans="1:10" hidden="1">
      <c r="A87" s="33" t="s">
        <v>146</v>
      </c>
      <c r="B87" s="15">
        <v>12</v>
      </c>
      <c r="C87" s="1">
        <v>7</v>
      </c>
      <c r="D87" s="7">
        <v>5</v>
      </c>
      <c r="G87" s="33" t="s">
        <v>146</v>
      </c>
      <c r="H87" s="161">
        <f t="shared" si="6"/>
        <v>2.434077079107505E-2</v>
      </c>
      <c r="I87" s="3">
        <f t="shared" si="7"/>
        <v>2.5362318840579712E-2</v>
      </c>
      <c r="J87" s="10">
        <f t="shared" si="8"/>
        <v>2.3041474654377881E-2</v>
      </c>
    </row>
    <row r="88" spans="1:10" hidden="1">
      <c r="A88" s="33" t="s">
        <v>147</v>
      </c>
      <c r="B88" s="15">
        <v>1</v>
      </c>
      <c r="C88" s="1" t="s">
        <v>130</v>
      </c>
      <c r="D88" s="7">
        <v>1</v>
      </c>
      <c r="G88" s="33" t="s">
        <v>147</v>
      </c>
      <c r="H88" s="161">
        <f t="shared" si="6"/>
        <v>2.0283975659229209E-3</v>
      </c>
      <c r="I88" s="3"/>
      <c r="J88" s="10">
        <f t="shared" si="8"/>
        <v>4.608294930875576E-3</v>
      </c>
    </row>
    <row r="89" spans="1:10" hidden="1">
      <c r="A89" s="33" t="s">
        <v>148</v>
      </c>
      <c r="B89" s="15">
        <v>3</v>
      </c>
      <c r="C89" s="1" t="s">
        <v>130</v>
      </c>
      <c r="D89" s="7">
        <v>3</v>
      </c>
      <c r="G89" s="33" t="s">
        <v>148</v>
      </c>
      <c r="H89" s="161">
        <f t="shared" si="6"/>
        <v>6.0851926977687626E-3</v>
      </c>
      <c r="I89" s="3"/>
      <c r="J89" s="10">
        <f t="shared" si="8"/>
        <v>1.3824884792626729E-2</v>
      </c>
    </row>
    <row r="90" spans="1:10" hidden="1">
      <c r="A90" s="33" t="s">
        <v>149</v>
      </c>
      <c r="B90" s="15">
        <v>7</v>
      </c>
      <c r="C90" s="1" t="s">
        <v>130</v>
      </c>
      <c r="D90" s="7">
        <v>7</v>
      </c>
      <c r="G90" s="33" t="s">
        <v>149</v>
      </c>
      <c r="H90" s="161">
        <f t="shared" si="6"/>
        <v>1.4198782961460446E-2</v>
      </c>
      <c r="I90" s="3"/>
      <c r="J90" s="10">
        <f t="shared" si="8"/>
        <v>3.2258064516129031E-2</v>
      </c>
    </row>
    <row r="91" spans="1:10" hidden="1">
      <c r="A91" s="33" t="s">
        <v>150</v>
      </c>
      <c r="B91" s="15">
        <v>6</v>
      </c>
      <c r="C91" s="1">
        <v>6</v>
      </c>
      <c r="D91" s="7" t="s">
        <v>130</v>
      </c>
      <c r="G91" s="33" t="s">
        <v>150</v>
      </c>
      <c r="H91" s="161">
        <f t="shared" si="6"/>
        <v>1.2170385395537525E-2</v>
      </c>
      <c r="I91" s="3">
        <f t="shared" si="7"/>
        <v>2.1739130434782608E-2</v>
      </c>
      <c r="J91" s="10"/>
    </row>
    <row r="92" spans="1:10" hidden="1">
      <c r="A92" s="33" t="s">
        <v>152</v>
      </c>
      <c r="B92" s="15">
        <v>4</v>
      </c>
      <c r="C92" s="1">
        <v>2</v>
      </c>
      <c r="D92" s="7">
        <v>2</v>
      </c>
      <c r="G92" s="33" t="s">
        <v>152</v>
      </c>
      <c r="H92" s="161">
        <f t="shared" si="6"/>
        <v>8.1135902636916835E-3</v>
      </c>
      <c r="I92" s="3">
        <f t="shared" si="7"/>
        <v>7.246376811594203E-3</v>
      </c>
      <c r="J92" s="10">
        <f t="shared" si="8"/>
        <v>9.2165898617511521E-3</v>
      </c>
    </row>
    <row r="93" spans="1:10" hidden="1">
      <c r="A93" s="33" t="s">
        <v>153</v>
      </c>
      <c r="B93" s="15">
        <v>9</v>
      </c>
      <c r="C93" s="1">
        <v>1</v>
      </c>
      <c r="D93" s="7">
        <v>8</v>
      </c>
      <c r="G93" s="33" t="s">
        <v>153</v>
      </c>
      <c r="H93" s="161">
        <f t="shared" si="6"/>
        <v>1.8255578093306288E-2</v>
      </c>
      <c r="I93" s="3">
        <f t="shared" si="7"/>
        <v>3.6231884057971015E-3</v>
      </c>
      <c r="J93" s="10">
        <f t="shared" si="8"/>
        <v>3.6866359447004608E-2</v>
      </c>
    </row>
    <row r="94" spans="1:10" hidden="1">
      <c r="A94" s="33" t="s">
        <v>154</v>
      </c>
      <c r="B94" s="15">
        <v>1</v>
      </c>
      <c r="C94" s="1">
        <v>1</v>
      </c>
      <c r="D94" s="7" t="s">
        <v>130</v>
      </c>
      <c r="G94" s="33" t="s">
        <v>154</v>
      </c>
      <c r="H94" s="161">
        <f t="shared" si="6"/>
        <v>2.0283975659229209E-3</v>
      </c>
      <c r="I94" s="3">
        <f t="shared" si="7"/>
        <v>3.6231884057971015E-3</v>
      </c>
      <c r="J94" s="10"/>
    </row>
    <row r="95" spans="1:10" hidden="1">
      <c r="A95" s="33" t="s">
        <v>156</v>
      </c>
      <c r="B95" s="15">
        <v>5</v>
      </c>
      <c r="C95" s="1">
        <v>2</v>
      </c>
      <c r="D95" s="7">
        <v>3</v>
      </c>
      <c r="G95" s="33" t="s">
        <v>156</v>
      </c>
      <c r="H95" s="161">
        <f t="shared" si="6"/>
        <v>1.0141987829614604E-2</v>
      </c>
      <c r="I95" s="3">
        <f t="shared" si="7"/>
        <v>7.246376811594203E-3</v>
      </c>
      <c r="J95" s="10">
        <f t="shared" si="8"/>
        <v>1.3824884792626729E-2</v>
      </c>
    </row>
    <row r="96" spans="1:10">
      <c r="A96" s="33" t="s">
        <v>157</v>
      </c>
      <c r="B96" s="15">
        <v>30</v>
      </c>
      <c r="C96" s="1">
        <v>14</v>
      </c>
      <c r="D96" s="7">
        <v>16</v>
      </c>
      <c r="G96" s="33" t="s">
        <v>157</v>
      </c>
      <c r="H96" s="161">
        <f t="shared" si="6"/>
        <v>6.0851926977687626E-2</v>
      </c>
      <c r="I96" s="3">
        <f t="shared" si="7"/>
        <v>5.0724637681159424E-2</v>
      </c>
      <c r="J96" s="10">
        <f t="shared" si="8"/>
        <v>7.3732718894009217E-2</v>
      </c>
    </row>
    <row r="97" spans="1:10" hidden="1">
      <c r="A97" s="33" t="s">
        <v>158</v>
      </c>
      <c r="B97" s="15">
        <v>8</v>
      </c>
      <c r="C97" s="1">
        <v>2</v>
      </c>
      <c r="D97" s="7">
        <v>6</v>
      </c>
      <c r="G97" s="33" t="s">
        <v>158</v>
      </c>
      <c r="H97" s="161">
        <f t="shared" si="6"/>
        <v>1.6227180527383367E-2</v>
      </c>
      <c r="I97" s="3">
        <f t="shared" si="7"/>
        <v>7.246376811594203E-3</v>
      </c>
      <c r="J97" s="10">
        <f t="shared" si="8"/>
        <v>2.7649769585253458E-2</v>
      </c>
    </row>
    <row r="98" spans="1:10" hidden="1">
      <c r="A98" s="33" t="s">
        <v>159</v>
      </c>
      <c r="B98" s="15">
        <v>3</v>
      </c>
      <c r="C98" s="1">
        <v>2</v>
      </c>
      <c r="D98" s="7">
        <v>1</v>
      </c>
      <c r="G98" s="33" t="s">
        <v>159</v>
      </c>
      <c r="H98" s="161">
        <f t="shared" si="6"/>
        <v>6.0851926977687626E-3</v>
      </c>
      <c r="I98" s="3">
        <f t="shared" si="7"/>
        <v>7.246376811594203E-3</v>
      </c>
      <c r="J98" s="10">
        <f t="shared" si="8"/>
        <v>4.608294930875576E-3</v>
      </c>
    </row>
    <row r="99" spans="1:10">
      <c r="A99" s="33" t="s">
        <v>160</v>
      </c>
      <c r="B99" s="15">
        <v>37</v>
      </c>
      <c r="C99" s="1">
        <v>14</v>
      </c>
      <c r="D99" s="7">
        <v>23</v>
      </c>
      <c r="G99" s="33" t="s">
        <v>160</v>
      </c>
      <c r="H99" s="161">
        <f t="shared" si="6"/>
        <v>7.5050709939148072E-2</v>
      </c>
      <c r="I99" s="3">
        <f t="shared" si="7"/>
        <v>5.0724637681159424E-2</v>
      </c>
      <c r="J99" s="10">
        <f t="shared" si="8"/>
        <v>0.10599078341013825</v>
      </c>
    </row>
    <row r="100" spans="1:10" hidden="1">
      <c r="A100" s="33" t="s">
        <v>161</v>
      </c>
      <c r="B100" s="15">
        <v>1</v>
      </c>
      <c r="C100" s="1">
        <v>1</v>
      </c>
      <c r="D100" s="7" t="s">
        <v>130</v>
      </c>
      <c r="G100" s="33" t="s">
        <v>161</v>
      </c>
      <c r="H100" s="161">
        <f t="shared" si="6"/>
        <v>2.0283975659229209E-3</v>
      </c>
      <c r="I100" s="3">
        <f t="shared" si="7"/>
        <v>3.6231884057971015E-3</v>
      </c>
      <c r="J100" s="10"/>
    </row>
    <row r="101" spans="1:10" hidden="1">
      <c r="A101" s="33" t="s">
        <v>162</v>
      </c>
      <c r="B101" s="15">
        <v>3</v>
      </c>
      <c r="C101" s="1" t="s">
        <v>130</v>
      </c>
      <c r="D101" s="7">
        <v>3</v>
      </c>
      <c r="G101" s="33" t="s">
        <v>162</v>
      </c>
      <c r="H101" s="161">
        <f t="shared" si="6"/>
        <v>6.0851926977687626E-3</v>
      </c>
      <c r="I101" s="3"/>
      <c r="J101" s="10">
        <f t="shared" si="8"/>
        <v>1.3824884792626729E-2</v>
      </c>
    </row>
    <row r="102" spans="1:10" hidden="1">
      <c r="A102" s="33" t="s">
        <v>164</v>
      </c>
      <c r="B102" s="15">
        <v>2</v>
      </c>
      <c r="C102" s="1" t="s">
        <v>130</v>
      </c>
      <c r="D102" s="7">
        <v>2</v>
      </c>
      <c r="G102" s="33" t="s">
        <v>164</v>
      </c>
      <c r="H102" s="161">
        <f t="shared" si="6"/>
        <v>4.0567951318458417E-3</v>
      </c>
      <c r="I102" s="3"/>
      <c r="J102" s="10">
        <f t="shared" si="8"/>
        <v>9.2165898617511521E-3</v>
      </c>
    </row>
    <row r="103" spans="1:10" hidden="1">
      <c r="A103" s="33" t="s">
        <v>165</v>
      </c>
      <c r="B103" s="15">
        <v>2</v>
      </c>
      <c r="C103" s="1">
        <v>1</v>
      </c>
      <c r="D103" s="7">
        <v>1</v>
      </c>
      <c r="G103" s="33" t="s">
        <v>165</v>
      </c>
      <c r="H103" s="161">
        <f t="shared" si="6"/>
        <v>4.0567951318458417E-3</v>
      </c>
      <c r="I103" s="3">
        <f t="shared" si="7"/>
        <v>3.6231884057971015E-3</v>
      </c>
      <c r="J103" s="10">
        <f t="shared" si="8"/>
        <v>4.608294930875576E-3</v>
      </c>
    </row>
    <row r="104" spans="1:10">
      <c r="A104" s="33" t="s">
        <v>166</v>
      </c>
      <c r="B104" s="15">
        <v>36</v>
      </c>
      <c r="C104" s="1">
        <v>16</v>
      </c>
      <c r="D104" s="7">
        <v>20</v>
      </c>
      <c r="G104" s="33" t="s">
        <v>166</v>
      </c>
      <c r="H104" s="161">
        <f t="shared" si="6"/>
        <v>7.3022312373225151E-2</v>
      </c>
      <c r="I104" s="3">
        <f t="shared" si="7"/>
        <v>5.7971014492753624E-2</v>
      </c>
      <c r="J104" s="10">
        <f t="shared" si="8"/>
        <v>9.2165898617511524E-2</v>
      </c>
    </row>
    <row r="105" spans="1:10">
      <c r="A105" s="33" t="s">
        <v>167</v>
      </c>
      <c r="B105" s="15">
        <v>15</v>
      </c>
      <c r="C105" s="1">
        <v>9</v>
      </c>
      <c r="D105" s="7">
        <v>6</v>
      </c>
      <c r="G105" s="33" t="s">
        <v>167</v>
      </c>
      <c r="H105" s="161">
        <f t="shared" si="6"/>
        <v>3.0425963488843813E-2</v>
      </c>
      <c r="I105" s="3">
        <f t="shared" si="7"/>
        <v>3.2608695652173912E-2</v>
      </c>
      <c r="J105" s="10">
        <f t="shared" si="8"/>
        <v>2.7649769585253458E-2</v>
      </c>
    </row>
    <row r="106" spans="1:10" hidden="1">
      <c r="A106" s="33" t="s">
        <v>168</v>
      </c>
      <c r="B106" s="15">
        <v>5</v>
      </c>
      <c r="C106" s="1">
        <v>2</v>
      </c>
      <c r="D106" s="7">
        <v>3</v>
      </c>
      <c r="G106" s="33" t="s">
        <v>168</v>
      </c>
      <c r="H106" s="161">
        <f t="shared" si="6"/>
        <v>1.0141987829614604E-2</v>
      </c>
      <c r="I106" s="3">
        <f t="shared" si="7"/>
        <v>7.246376811594203E-3</v>
      </c>
      <c r="J106" s="10">
        <f t="shared" si="8"/>
        <v>1.3824884792626729E-2</v>
      </c>
    </row>
    <row r="107" spans="1:10">
      <c r="A107" s="33" t="s">
        <v>117</v>
      </c>
      <c r="B107" s="15">
        <v>29</v>
      </c>
      <c r="C107" s="1">
        <v>19</v>
      </c>
      <c r="D107" s="7">
        <v>10</v>
      </c>
      <c r="G107" s="33" t="s">
        <v>117</v>
      </c>
      <c r="H107" s="161">
        <f t="shared" si="6"/>
        <v>5.8823529411764705E-2</v>
      </c>
      <c r="I107" s="3">
        <f t="shared" si="7"/>
        <v>6.8840579710144928E-2</v>
      </c>
      <c r="J107" s="10">
        <f t="shared" si="8"/>
        <v>4.6082949308755762E-2</v>
      </c>
    </row>
    <row r="108" spans="1:10" hidden="1">
      <c r="A108" s="33" t="s">
        <v>119</v>
      </c>
      <c r="B108" s="15">
        <v>1</v>
      </c>
      <c r="C108" s="1">
        <v>1</v>
      </c>
      <c r="D108" s="7" t="s">
        <v>130</v>
      </c>
      <c r="G108" s="33" t="s">
        <v>119</v>
      </c>
      <c r="H108" s="161">
        <f t="shared" ref="H108:H125" si="9">B108/$B$74</f>
        <v>2.0283975659229209E-3</v>
      </c>
      <c r="I108" s="3">
        <f t="shared" ref="I108:I125" si="10">C108/$C$74</f>
        <v>3.6231884057971015E-3</v>
      </c>
      <c r="J108" s="10"/>
    </row>
    <row r="109" spans="1:10" hidden="1">
      <c r="A109" s="33" t="s">
        <v>121</v>
      </c>
      <c r="B109" s="15">
        <v>1</v>
      </c>
      <c r="C109" s="1">
        <v>1</v>
      </c>
      <c r="D109" s="7" t="s">
        <v>130</v>
      </c>
      <c r="G109" s="33" t="s">
        <v>121</v>
      </c>
      <c r="H109" s="161">
        <f t="shared" si="9"/>
        <v>2.0283975659229209E-3</v>
      </c>
      <c r="I109" s="3">
        <f t="shared" si="10"/>
        <v>3.6231884057971015E-3</v>
      </c>
      <c r="J109" s="10"/>
    </row>
    <row r="110" spans="1:10" hidden="1">
      <c r="A110" s="33" t="s">
        <v>124</v>
      </c>
      <c r="B110" s="15">
        <v>6</v>
      </c>
      <c r="C110" s="1">
        <v>5</v>
      </c>
      <c r="D110" s="7">
        <v>1</v>
      </c>
      <c r="G110" s="33" t="s">
        <v>124</v>
      </c>
      <c r="H110" s="161">
        <f t="shared" si="9"/>
        <v>1.2170385395537525E-2</v>
      </c>
      <c r="I110" s="3">
        <f t="shared" si="10"/>
        <v>1.8115942028985508E-2</v>
      </c>
      <c r="J110" s="10">
        <f t="shared" ref="J110:J125" si="11">D110/$D$74</f>
        <v>4.608294930875576E-3</v>
      </c>
    </row>
    <row r="111" spans="1:10" hidden="1">
      <c r="A111" s="33" t="s">
        <v>125</v>
      </c>
      <c r="B111" s="15">
        <v>4</v>
      </c>
      <c r="C111" s="1">
        <v>2</v>
      </c>
      <c r="D111" s="7">
        <v>2</v>
      </c>
      <c r="G111" s="33" t="s">
        <v>125</v>
      </c>
      <c r="H111" s="161">
        <f t="shared" si="9"/>
        <v>8.1135902636916835E-3</v>
      </c>
      <c r="I111" s="3">
        <f t="shared" si="10"/>
        <v>7.246376811594203E-3</v>
      </c>
      <c r="J111" s="10">
        <f t="shared" si="11"/>
        <v>9.2165898617511521E-3</v>
      </c>
    </row>
    <row r="112" spans="1:10">
      <c r="A112" s="33" t="s">
        <v>126</v>
      </c>
      <c r="B112" s="15">
        <v>92</v>
      </c>
      <c r="C112" s="1">
        <v>88</v>
      </c>
      <c r="D112" s="7">
        <v>4</v>
      </c>
      <c r="G112" s="33" t="s">
        <v>126</v>
      </c>
      <c r="H112" s="161">
        <f t="shared" si="9"/>
        <v>0.18661257606490872</v>
      </c>
      <c r="I112" s="3">
        <f t="shared" si="10"/>
        <v>0.3188405797101449</v>
      </c>
      <c r="J112" s="10">
        <f t="shared" si="11"/>
        <v>1.8433179723502304E-2</v>
      </c>
    </row>
    <row r="113" spans="1:10" hidden="1">
      <c r="A113" s="33" t="s">
        <v>169</v>
      </c>
      <c r="B113" s="15">
        <v>13</v>
      </c>
      <c r="C113" s="1">
        <v>4</v>
      </c>
      <c r="D113" s="7">
        <v>9</v>
      </c>
      <c r="G113" s="33" t="s">
        <v>169</v>
      </c>
      <c r="H113" s="161">
        <f t="shared" si="9"/>
        <v>2.6369168356997971E-2</v>
      </c>
      <c r="I113" s="3">
        <f t="shared" si="10"/>
        <v>1.4492753623188406E-2</v>
      </c>
      <c r="J113" s="10">
        <f t="shared" si="11"/>
        <v>4.1474654377880185E-2</v>
      </c>
    </row>
    <row r="114" spans="1:10" hidden="1">
      <c r="A114" s="33" t="s">
        <v>170</v>
      </c>
      <c r="B114" s="15">
        <v>9</v>
      </c>
      <c r="C114" s="1">
        <v>7</v>
      </c>
      <c r="D114" s="7">
        <v>2</v>
      </c>
      <c r="G114" s="33" t="s">
        <v>170</v>
      </c>
      <c r="H114" s="161">
        <f t="shared" si="9"/>
        <v>1.8255578093306288E-2</v>
      </c>
      <c r="I114" s="3">
        <f t="shared" si="10"/>
        <v>2.5362318840579712E-2</v>
      </c>
      <c r="J114" s="10">
        <f t="shared" si="11"/>
        <v>9.2165898617511521E-3</v>
      </c>
    </row>
    <row r="115" spans="1:10" hidden="1">
      <c r="A115" s="33" t="s">
        <v>171</v>
      </c>
      <c r="B115" s="15">
        <v>4</v>
      </c>
      <c r="C115" s="1">
        <v>2</v>
      </c>
      <c r="D115" s="7">
        <v>2</v>
      </c>
      <c r="G115" s="33" t="s">
        <v>171</v>
      </c>
      <c r="H115" s="161">
        <f t="shared" si="9"/>
        <v>8.1135902636916835E-3</v>
      </c>
      <c r="I115" s="3">
        <f t="shared" si="10"/>
        <v>7.246376811594203E-3</v>
      </c>
      <c r="J115" s="10">
        <f t="shared" si="11"/>
        <v>9.2165898617511521E-3</v>
      </c>
    </row>
    <row r="116" spans="1:10" hidden="1">
      <c r="A116" s="33" t="s">
        <v>172</v>
      </c>
      <c r="B116" s="15">
        <v>9</v>
      </c>
      <c r="C116" s="1">
        <v>6</v>
      </c>
      <c r="D116" s="7">
        <v>3</v>
      </c>
      <c r="G116" s="33" t="s">
        <v>172</v>
      </c>
      <c r="H116" s="161">
        <f t="shared" si="9"/>
        <v>1.8255578093306288E-2</v>
      </c>
      <c r="I116" s="3">
        <f t="shared" si="10"/>
        <v>2.1739130434782608E-2</v>
      </c>
      <c r="J116" s="10">
        <f t="shared" si="11"/>
        <v>1.3824884792626729E-2</v>
      </c>
    </row>
    <row r="117" spans="1:10" hidden="1">
      <c r="A117" s="33" t="s">
        <v>174</v>
      </c>
      <c r="B117" s="15">
        <v>5</v>
      </c>
      <c r="C117" s="1">
        <v>4</v>
      </c>
      <c r="D117" s="7">
        <v>1</v>
      </c>
      <c r="G117" s="33" t="s">
        <v>174</v>
      </c>
      <c r="H117" s="161">
        <f t="shared" si="9"/>
        <v>1.0141987829614604E-2</v>
      </c>
      <c r="I117" s="3">
        <f t="shared" si="10"/>
        <v>1.4492753623188406E-2</v>
      </c>
      <c r="J117" s="10">
        <f t="shared" si="11"/>
        <v>4.608294930875576E-3</v>
      </c>
    </row>
    <row r="118" spans="1:10" hidden="1">
      <c r="A118" s="33" t="s">
        <v>175</v>
      </c>
      <c r="B118" s="15">
        <v>3</v>
      </c>
      <c r="C118" s="1" t="s">
        <v>130</v>
      </c>
      <c r="D118" s="7">
        <v>3</v>
      </c>
      <c r="G118" s="33" t="s">
        <v>175</v>
      </c>
      <c r="H118" s="161">
        <f t="shared" si="9"/>
        <v>6.0851926977687626E-3</v>
      </c>
      <c r="I118" s="3"/>
      <c r="J118" s="10">
        <f t="shared" si="11"/>
        <v>1.3824884792626729E-2</v>
      </c>
    </row>
    <row r="119" spans="1:10" hidden="1">
      <c r="A119" s="33" t="s">
        <v>176</v>
      </c>
      <c r="B119" s="15">
        <v>5</v>
      </c>
      <c r="C119" s="1">
        <v>3</v>
      </c>
      <c r="D119" s="7">
        <v>2</v>
      </c>
      <c r="G119" s="33" t="s">
        <v>176</v>
      </c>
      <c r="H119" s="161">
        <f t="shared" si="9"/>
        <v>1.0141987829614604E-2</v>
      </c>
      <c r="I119" s="3">
        <f t="shared" si="10"/>
        <v>1.0869565217391304E-2</v>
      </c>
      <c r="J119" s="10">
        <f t="shared" si="11"/>
        <v>9.2165898617511521E-3</v>
      </c>
    </row>
    <row r="120" spans="1:10">
      <c r="A120" s="33" t="s">
        <v>177</v>
      </c>
      <c r="B120" s="15">
        <v>14</v>
      </c>
      <c r="C120" s="1">
        <v>8</v>
      </c>
      <c r="D120" s="7">
        <v>6</v>
      </c>
      <c r="G120" s="33" t="s">
        <v>177</v>
      </c>
      <c r="H120" s="161">
        <f t="shared" si="9"/>
        <v>2.8397565922920892E-2</v>
      </c>
      <c r="I120" s="3">
        <f t="shared" si="10"/>
        <v>2.8985507246376812E-2</v>
      </c>
      <c r="J120" s="10">
        <f t="shared" si="11"/>
        <v>2.7649769585253458E-2</v>
      </c>
    </row>
    <row r="121" spans="1:10" hidden="1">
      <c r="A121" s="33" t="s">
        <v>178</v>
      </c>
      <c r="B121" s="15">
        <v>10</v>
      </c>
      <c r="C121" s="1">
        <v>3</v>
      </c>
      <c r="D121" s="7">
        <v>7</v>
      </c>
      <c r="G121" s="33" t="s">
        <v>178</v>
      </c>
      <c r="H121" s="161">
        <f t="shared" si="9"/>
        <v>2.0283975659229209E-2</v>
      </c>
      <c r="I121" s="3">
        <f t="shared" si="10"/>
        <v>1.0869565217391304E-2</v>
      </c>
      <c r="J121" s="10">
        <f t="shared" si="11"/>
        <v>3.2258064516129031E-2</v>
      </c>
    </row>
    <row r="122" spans="1:10" hidden="1">
      <c r="A122" s="33" t="s">
        <v>180</v>
      </c>
      <c r="B122" s="15">
        <v>3</v>
      </c>
      <c r="C122" s="1" t="s">
        <v>130</v>
      </c>
      <c r="D122" s="7">
        <v>3</v>
      </c>
      <c r="G122" s="33" t="s">
        <v>180</v>
      </c>
      <c r="H122" s="161">
        <f t="shared" si="9"/>
        <v>6.0851926977687626E-3</v>
      </c>
      <c r="I122" s="3"/>
      <c r="J122" s="10">
        <f t="shared" si="11"/>
        <v>1.3824884792626729E-2</v>
      </c>
    </row>
    <row r="123" spans="1:10" ht="15" thickBot="1">
      <c r="A123" s="33" t="s">
        <v>181</v>
      </c>
      <c r="B123" s="15">
        <v>14</v>
      </c>
      <c r="C123" s="1">
        <v>9</v>
      </c>
      <c r="D123" s="7">
        <v>5</v>
      </c>
      <c r="G123" s="33" t="s">
        <v>181</v>
      </c>
      <c r="H123" s="161">
        <f t="shared" si="9"/>
        <v>2.8397565922920892E-2</v>
      </c>
      <c r="I123" s="3">
        <f t="shared" si="10"/>
        <v>3.2608695652173912E-2</v>
      </c>
      <c r="J123" s="10">
        <f t="shared" si="11"/>
        <v>2.3041474654377881E-2</v>
      </c>
    </row>
    <row r="124" spans="1:10" ht="15" hidden="1" thickBot="1">
      <c r="A124" s="33" t="s">
        <v>182</v>
      </c>
      <c r="B124" s="15">
        <v>11</v>
      </c>
      <c r="C124" s="1">
        <v>3</v>
      </c>
      <c r="D124" s="7">
        <v>8</v>
      </c>
      <c r="G124" s="33" t="s">
        <v>182</v>
      </c>
      <c r="H124" s="161">
        <f t="shared" si="9"/>
        <v>2.231237322515213E-2</v>
      </c>
      <c r="I124" s="3">
        <f t="shared" si="10"/>
        <v>1.0869565217391304E-2</v>
      </c>
      <c r="J124" s="10">
        <f t="shared" si="11"/>
        <v>3.6866359447004608E-2</v>
      </c>
    </row>
    <row r="125" spans="1:10" ht="15" hidden="1" thickBot="1">
      <c r="A125" s="36" t="s">
        <v>183</v>
      </c>
      <c r="B125" s="16">
        <v>2</v>
      </c>
      <c r="C125" s="5">
        <v>1</v>
      </c>
      <c r="D125" s="8">
        <v>1</v>
      </c>
      <c r="G125" s="36" t="s">
        <v>183</v>
      </c>
      <c r="H125" s="162">
        <f t="shared" si="9"/>
        <v>4.0567951318458417E-3</v>
      </c>
      <c r="I125" s="12">
        <f t="shared" si="10"/>
        <v>3.6231884057971015E-3</v>
      </c>
      <c r="J125" s="163">
        <f t="shared" si="11"/>
        <v>4.608294930875576E-3</v>
      </c>
    </row>
    <row r="126" spans="1:10" ht="15" thickBot="1">
      <c r="G126" s="313"/>
      <c r="H126" s="310">
        <f>SUM(H75:H125)</f>
        <v>0.99999999999999978</v>
      </c>
      <c r="I126" s="310">
        <f>SUM(I75:I125)</f>
        <v>1</v>
      </c>
      <c r="J126" s="310">
        <f>SUM(J75:J125)</f>
        <v>1.0000000000000002</v>
      </c>
    </row>
    <row r="127" spans="1:10">
      <c r="H127" s="309"/>
    </row>
  </sheetData>
  <autoFilter ref="H74:J126" xr:uid="{00000000-0001-0000-0400-000000000000}">
    <filterColumn colId="0">
      <top10 val="10" filterVal="2.8397565922920892E-2"/>
    </filterColumn>
  </autoFilter>
  <mergeCells count="11">
    <mergeCell ref="B2:B3"/>
    <mergeCell ref="B71:B73"/>
    <mergeCell ref="C2:D2"/>
    <mergeCell ref="I3:J3"/>
    <mergeCell ref="I73:J73"/>
    <mergeCell ref="G2:G3"/>
    <mergeCell ref="A71:A73"/>
    <mergeCell ref="G72:G74"/>
    <mergeCell ref="C71:D71"/>
    <mergeCell ref="C72:C73"/>
    <mergeCell ref="D72:D73"/>
  </mergeCells>
  <conditionalFormatting sqref="H5:J6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5:J1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18"/>
  <sheetViews>
    <sheetView topLeftCell="L1" zoomScale="41" zoomScaleNormal="67" workbookViewId="0">
      <selection activeCell="W2" sqref="W2:X3"/>
    </sheetView>
  </sheetViews>
  <sheetFormatPr baseColWidth="10" defaultColWidth="8.90625" defaultRowHeight="14.5"/>
  <cols>
    <col min="1" max="1" width="9.6328125" customWidth="1"/>
    <col min="2" max="2" width="9.54296875" customWidth="1"/>
    <col min="6" max="6" width="11.54296875" customWidth="1"/>
    <col min="10" max="10" width="10.1796875" customWidth="1"/>
    <col min="11" max="11" width="6" hidden="1" customWidth="1"/>
    <col min="12" max="12" width="15" customWidth="1"/>
    <col min="16" max="16" width="8.453125" customWidth="1"/>
    <col min="17" max="17" width="14.36328125" customWidth="1"/>
    <col min="25" max="25" width="20"/>
    <col min="39" max="39" width="8.90625" customWidth="1"/>
  </cols>
  <sheetData>
    <row r="1" spans="1:33" ht="30" customHeight="1" thickBot="1">
      <c r="A1" s="459" t="s">
        <v>184</v>
      </c>
      <c r="B1" s="191" t="s">
        <v>357</v>
      </c>
      <c r="C1" s="191" t="s">
        <v>6</v>
      </c>
      <c r="D1" s="191" t="s">
        <v>7</v>
      </c>
      <c r="E1" s="191" t="s">
        <v>1</v>
      </c>
      <c r="F1" s="459" t="s">
        <v>185</v>
      </c>
      <c r="G1" s="191" t="s">
        <v>357</v>
      </c>
      <c r="H1" s="191" t="s">
        <v>6</v>
      </c>
      <c r="I1" s="191" t="s">
        <v>7</v>
      </c>
      <c r="J1" s="191" t="s">
        <v>1</v>
      </c>
      <c r="L1" s="462" t="s">
        <v>186</v>
      </c>
      <c r="M1" s="444" t="s">
        <v>187</v>
      </c>
      <c r="N1" s="452" t="s">
        <v>2</v>
      </c>
      <c r="O1" s="453"/>
      <c r="P1" s="454"/>
      <c r="Q1" s="462" t="s">
        <v>188</v>
      </c>
      <c r="R1" s="444" t="s">
        <v>187</v>
      </c>
      <c r="S1" s="452" t="s">
        <v>2</v>
      </c>
      <c r="T1" s="453"/>
      <c r="U1" s="454"/>
    </row>
    <row r="2" spans="1:33" ht="15" thickBot="1">
      <c r="A2" s="460"/>
      <c r="B2" s="178" t="s">
        <v>189</v>
      </c>
      <c r="C2" s="179">
        <v>33</v>
      </c>
      <c r="D2" s="179">
        <v>26</v>
      </c>
      <c r="E2" s="180">
        <v>59</v>
      </c>
      <c r="F2" s="460"/>
      <c r="G2" s="169" t="s">
        <v>189</v>
      </c>
      <c r="H2" s="170">
        <v>107</v>
      </c>
      <c r="I2" s="170">
        <v>92</v>
      </c>
      <c r="J2" s="171">
        <v>199</v>
      </c>
      <c r="L2" s="462"/>
      <c r="M2" s="445"/>
      <c r="N2" s="191" t="s">
        <v>6</v>
      </c>
      <c r="O2" s="191" t="s">
        <v>7</v>
      </c>
      <c r="P2" s="189" t="s">
        <v>1</v>
      </c>
      <c r="Q2" s="462"/>
      <c r="R2" s="445"/>
      <c r="S2" s="191" t="s">
        <v>6</v>
      </c>
      <c r="T2" s="191" t="s">
        <v>7</v>
      </c>
      <c r="U2" s="189" t="s">
        <v>1</v>
      </c>
      <c r="W2" s="448" t="s">
        <v>36</v>
      </c>
      <c r="X2" s="449"/>
      <c r="Y2" s="446">
        <f>AC2*J24/U118</f>
        <v>2.3026828470755776</v>
      </c>
      <c r="Z2" s="30"/>
      <c r="AB2" s="31" t="s">
        <v>92</v>
      </c>
      <c r="AC2" s="32">
        <v>1000</v>
      </c>
    </row>
    <row r="3" spans="1:33" ht="15" thickBot="1">
      <c r="A3" s="460"/>
      <c r="B3" s="181" t="s">
        <v>190</v>
      </c>
      <c r="C3" s="182">
        <v>5</v>
      </c>
      <c r="D3" s="182">
        <v>3</v>
      </c>
      <c r="E3" s="183">
        <v>8</v>
      </c>
      <c r="F3" s="460"/>
      <c r="G3" s="172" t="s">
        <v>190</v>
      </c>
      <c r="H3" s="173">
        <v>16</v>
      </c>
      <c r="I3" s="173">
        <v>13</v>
      </c>
      <c r="J3" s="174">
        <v>29</v>
      </c>
      <c r="L3" s="462"/>
      <c r="M3" s="193" t="s">
        <v>191</v>
      </c>
      <c r="N3" s="194">
        <v>2856</v>
      </c>
      <c r="O3" s="194">
        <v>2771</v>
      </c>
      <c r="P3" s="195">
        <v>5627</v>
      </c>
      <c r="Q3" s="462"/>
      <c r="R3" s="193" t="s">
        <v>191</v>
      </c>
      <c r="S3" s="194">
        <v>12659</v>
      </c>
      <c r="T3" s="194">
        <v>12260</v>
      </c>
      <c r="U3" s="195">
        <v>24919</v>
      </c>
      <c r="W3" s="450"/>
      <c r="X3" s="451"/>
      <c r="Y3" s="447"/>
      <c r="Z3" s="30"/>
    </row>
    <row r="4" spans="1:33" ht="23.5" customHeight="1" thickBot="1">
      <c r="A4" s="460"/>
      <c r="B4" s="181" t="s">
        <v>192</v>
      </c>
      <c r="C4" s="182">
        <v>10</v>
      </c>
      <c r="D4" s="182">
        <v>2</v>
      </c>
      <c r="E4" s="183">
        <v>12</v>
      </c>
      <c r="F4" s="460"/>
      <c r="G4" s="172" t="s">
        <v>192</v>
      </c>
      <c r="H4" s="173">
        <v>26</v>
      </c>
      <c r="I4" s="173">
        <v>9</v>
      </c>
      <c r="J4" s="174">
        <v>35</v>
      </c>
      <c r="L4" s="462"/>
      <c r="M4" s="196" t="s">
        <v>193</v>
      </c>
      <c r="N4" s="197">
        <v>2647</v>
      </c>
      <c r="O4" s="197">
        <v>2375</v>
      </c>
      <c r="P4" s="198">
        <v>5022</v>
      </c>
      <c r="Q4" s="462"/>
      <c r="R4" s="196" t="s">
        <v>193</v>
      </c>
      <c r="S4" s="197">
        <v>12124</v>
      </c>
      <c r="T4" s="197">
        <v>11564</v>
      </c>
      <c r="U4" s="198">
        <v>23688</v>
      </c>
      <c r="Y4" s="47"/>
      <c r="AC4" s="331" t="s">
        <v>354</v>
      </c>
      <c r="AD4" s="332"/>
      <c r="AE4" s="332"/>
      <c r="AF4" s="332"/>
      <c r="AG4" s="333"/>
    </row>
    <row r="5" spans="1:33" ht="23.5" customHeight="1" thickBot="1">
      <c r="A5" s="460"/>
      <c r="B5" s="181" t="s">
        <v>194</v>
      </c>
      <c r="C5" s="182">
        <v>14</v>
      </c>
      <c r="D5" s="182">
        <v>4</v>
      </c>
      <c r="E5" s="183">
        <v>18</v>
      </c>
      <c r="F5" s="460"/>
      <c r="G5" s="172" t="s">
        <v>194</v>
      </c>
      <c r="H5" s="173">
        <v>37</v>
      </c>
      <c r="I5" s="173">
        <v>17</v>
      </c>
      <c r="J5" s="174">
        <v>54</v>
      </c>
      <c r="L5" s="462"/>
      <c r="M5" s="196" t="s">
        <v>195</v>
      </c>
      <c r="N5" s="197">
        <v>2391</v>
      </c>
      <c r="O5" s="197">
        <v>2425</v>
      </c>
      <c r="P5" s="198">
        <v>4816</v>
      </c>
      <c r="Q5" s="462"/>
      <c r="R5" s="196" t="s">
        <v>195</v>
      </c>
      <c r="S5" s="197">
        <v>11271</v>
      </c>
      <c r="T5" s="197">
        <v>11064</v>
      </c>
      <c r="U5" s="198">
        <v>22335</v>
      </c>
      <c r="W5" s="455" t="s">
        <v>38</v>
      </c>
      <c r="X5" s="456"/>
      <c r="Y5" s="205">
        <f>AC2*E24/P112</f>
        <v>2.5870317649699359</v>
      </c>
      <c r="AC5" s="337"/>
      <c r="AD5" s="338"/>
      <c r="AE5" s="338"/>
      <c r="AF5" s="338"/>
      <c r="AG5" s="339"/>
    </row>
    <row r="6" spans="1:33" ht="23.5" customHeight="1" thickBot="1">
      <c r="A6" s="460"/>
      <c r="B6" s="181" t="s">
        <v>196</v>
      </c>
      <c r="C6" s="182">
        <v>21</v>
      </c>
      <c r="D6" s="182">
        <v>4</v>
      </c>
      <c r="E6" s="183">
        <v>25</v>
      </c>
      <c r="F6" s="460"/>
      <c r="G6" s="172" t="s">
        <v>196</v>
      </c>
      <c r="H6" s="173">
        <v>75</v>
      </c>
      <c r="I6" s="173">
        <v>11</v>
      </c>
      <c r="J6" s="174">
        <v>86</v>
      </c>
      <c r="L6" s="462"/>
      <c r="M6" s="196" t="s">
        <v>197</v>
      </c>
      <c r="N6" s="197">
        <v>2225</v>
      </c>
      <c r="O6" s="197">
        <v>2259</v>
      </c>
      <c r="P6" s="198">
        <v>4484</v>
      </c>
      <c r="Q6" s="462"/>
      <c r="R6" s="196" t="s">
        <v>197</v>
      </c>
      <c r="S6" s="197">
        <v>9848</v>
      </c>
      <c r="T6" s="197">
        <v>9795</v>
      </c>
      <c r="U6" s="198">
        <v>19643</v>
      </c>
    </row>
    <row r="7" spans="1:33" ht="23.5" thickBot="1">
      <c r="A7" s="460"/>
      <c r="B7" s="181" t="s">
        <v>198</v>
      </c>
      <c r="C7" s="182">
        <v>20</v>
      </c>
      <c r="D7" s="184" t="s">
        <v>199</v>
      </c>
      <c r="E7" s="183">
        <v>20</v>
      </c>
      <c r="F7" s="460"/>
      <c r="G7" s="172" t="s">
        <v>198</v>
      </c>
      <c r="H7" s="173">
        <v>76</v>
      </c>
      <c r="I7" s="173">
        <v>12</v>
      </c>
      <c r="J7" s="174">
        <v>88</v>
      </c>
      <c r="L7" s="462"/>
      <c r="M7" s="196" t="s">
        <v>200</v>
      </c>
      <c r="N7" s="197">
        <v>2516</v>
      </c>
      <c r="O7" s="197">
        <v>2385</v>
      </c>
      <c r="P7" s="198">
        <v>4901</v>
      </c>
      <c r="Q7" s="462"/>
      <c r="R7" s="196" t="s">
        <v>200</v>
      </c>
      <c r="S7" s="197">
        <v>9629</v>
      </c>
      <c r="T7" s="197">
        <v>9275</v>
      </c>
      <c r="U7" s="198">
        <v>18904</v>
      </c>
      <c r="W7" s="457" t="s">
        <v>201</v>
      </c>
      <c r="X7" s="458"/>
      <c r="Y7" s="203">
        <f>AC2*H24/S118</f>
        <v>2.8469508877788221</v>
      </c>
    </row>
    <row r="8" spans="1:33" ht="23.5" thickBot="1">
      <c r="A8" s="460"/>
      <c r="B8" s="181" t="s">
        <v>202</v>
      </c>
      <c r="C8" s="182">
        <v>13</v>
      </c>
      <c r="D8" s="182">
        <v>3</v>
      </c>
      <c r="E8" s="183">
        <v>16</v>
      </c>
      <c r="F8" s="460"/>
      <c r="G8" s="172" t="s">
        <v>202</v>
      </c>
      <c r="H8" s="173">
        <v>58</v>
      </c>
      <c r="I8" s="173">
        <v>13</v>
      </c>
      <c r="J8" s="174">
        <v>71</v>
      </c>
      <c r="L8" s="462"/>
      <c r="M8" s="196" t="s">
        <v>203</v>
      </c>
      <c r="N8" s="197">
        <v>2268</v>
      </c>
      <c r="O8" s="197">
        <v>2256</v>
      </c>
      <c r="P8" s="198">
        <v>4524</v>
      </c>
      <c r="Q8" s="462"/>
      <c r="R8" s="196" t="s">
        <v>203</v>
      </c>
      <c r="S8" s="197">
        <v>9749</v>
      </c>
      <c r="T8" s="197">
        <v>9251</v>
      </c>
      <c r="U8" s="198">
        <v>19000</v>
      </c>
      <c r="W8" s="442" t="s">
        <v>204</v>
      </c>
      <c r="X8" s="443"/>
      <c r="Y8" s="204">
        <f>AC2*I24/T118</f>
        <v>1.7706602205771265</v>
      </c>
    </row>
    <row r="9" spans="1:33" ht="23.5" thickBot="1">
      <c r="A9" s="460"/>
      <c r="B9" s="181" t="s">
        <v>205</v>
      </c>
      <c r="C9" s="182">
        <v>18</v>
      </c>
      <c r="D9" s="182">
        <v>7</v>
      </c>
      <c r="E9" s="183">
        <v>25</v>
      </c>
      <c r="F9" s="460"/>
      <c r="G9" s="172" t="s">
        <v>205</v>
      </c>
      <c r="H9" s="173">
        <v>62</v>
      </c>
      <c r="I9" s="173">
        <v>26</v>
      </c>
      <c r="J9" s="174">
        <v>88</v>
      </c>
      <c r="L9" s="462"/>
      <c r="M9" s="196" t="s">
        <v>206</v>
      </c>
      <c r="N9" s="197">
        <v>2032</v>
      </c>
      <c r="O9" s="197">
        <v>2056</v>
      </c>
      <c r="P9" s="198">
        <v>4088</v>
      </c>
      <c r="Q9" s="462"/>
      <c r="R9" s="196" t="s">
        <v>206</v>
      </c>
      <c r="S9" s="197">
        <v>8968</v>
      </c>
      <c r="T9" s="197">
        <v>8472</v>
      </c>
      <c r="U9" s="198">
        <v>17440</v>
      </c>
      <c r="W9" s="29"/>
      <c r="X9" s="29"/>
      <c r="Y9" s="47"/>
    </row>
    <row r="10" spans="1:33" ht="23.5" thickBot="1">
      <c r="A10" s="460"/>
      <c r="B10" s="181" t="s">
        <v>207</v>
      </c>
      <c r="C10" s="182">
        <v>16</v>
      </c>
      <c r="D10" s="182">
        <v>4</v>
      </c>
      <c r="E10" s="183">
        <v>20</v>
      </c>
      <c r="F10" s="460"/>
      <c r="G10" s="172" t="s">
        <v>207</v>
      </c>
      <c r="H10" s="173">
        <v>55</v>
      </c>
      <c r="I10" s="173">
        <v>15</v>
      </c>
      <c r="J10" s="174">
        <v>70</v>
      </c>
      <c r="L10" s="462"/>
      <c r="M10" s="196" t="s">
        <v>208</v>
      </c>
      <c r="N10" s="197">
        <v>2050</v>
      </c>
      <c r="O10" s="197">
        <v>2101</v>
      </c>
      <c r="P10" s="198">
        <v>4151</v>
      </c>
      <c r="Q10" s="462"/>
      <c r="R10" s="196" t="s">
        <v>208</v>
      </c>
      <c r="S10" s="197">
        <v>8425</v>
      </c>
      <c r="T10" s="197">
        <v>8059</v>
      </c>
      <c r="U10" s="198">
        <v>16484</v>
      </c>
      <c r="W10" s="457" t="s">
        <v>209</v>
      </c>
      <c r="X10" s="458"/>
      <c r="Y10" s="205">
        <f>AC2*C24/N112</f>
        <v>3.2305681928177332</v>
      </c>
    </row>
    <row r="11" spans="1:33" ht="23.5" thickBot="1">
      <c r="A11" s="460"/>
      <c r="B11" s="181" t="s">
        <v>210</v>
      </c>
      <c r="C11" s="182">
        <v>9</v>
      </c>
      <c r="D11" s="182">
        <v>4</v>
      </c>
      <c r="E11" s="183">
        <v>13</v>
      </c>
      <c r="F11" s="460"/>
      <c r="G11" s="172" t="s">
        <v>210</v>
      </c>
      <c r="H11" s="173">
        <v>37</v>
      </c>
      <c r="I11" s="173">
        <v>19</v>
      </c>
      <c r="J11" s="174">
        <v>56</v>
      </c>
      <c r="L11" s="462"/>
      <c r="M11" s="196" t="s">
        <v>211</v>
      </c>
      <c r="N11" s="197">
        <v>1970</v>
      </c>
      <c r="O11" s="197">
        <v>1842</v>
      </c>
      <c r="P11" s="198">
        <v>3812</v>
      </c>
      <c r="Q11" s="462"/>
      <c r="R11" s="196" t="s">
        <v>211</v>
      </c>
      <c r="S11" s="197">
        <v>8527</v>
      </c>
      <c r="T11" s="197">
        <v>8066</v>
      </c>
      <c r="U11" s="198">
        <v>16593</v>
      </c>
      <c r="W11" s="457" t="s">
        <v>212</v>
      </c>
      <c r="X11" s="458"/>
      <c r="Y11" s="205">
        <f>AC2*D24/O112</f>
        <v>1.9732742505019734</v>
      </c>
    </row>
    <row r="12" spans="1:33" ht="23.5" thickBot="1">
      <c r="A12" s="460"/>
      <c r="B12" s="181" t="s">
        <v>213</v>
      </c>
      <c r="C12" s="182">
        <v>15</v>
      </c>
      <c r="D12" s="182">
        <v>15</v>
      </c>
      <c r="E12" s="183">
        <v>30</v>
      </c>
      <c r="F12" s="460"/>
      <c r="G12" s="172" t="s">
        <v>213</v>
      </c>
      <c r="H12" s="173">
        <v>46</v>
      </c>
      <c r="I12" s="173">
        <v>34</v>
      </c>
      <c r="J12" s="174">
        <v>80</v>
      </c>
      <c r="L12" s="462"/>
      <c r="M12" s="196" t="s">
        <v>214</v>
      </c>
      <c r="N12" s="197">
        <v>1922</v>
      </c>
      <c r="O12" s="197">
        <v>1766</v>
      </c>
      <c r="P12" s="198">
        <v>3688</v>
      </c>
      <c r="Q12" s="462"/>
      <c r="R12" s="196" t="s">
        <v>214</v>
      </c>
      <c r="S12" s="197">
        <v>8033</v>
      </c>
      <c r="T12" s="197">
        <v>7629</v>
      </c>
      <c r="U12" s="198">
        <v>15662</v>
      </c>
    </row>
    <row r="13" spans="1:33" ht="29" customHeight="1" thickBot="1">
      <c r="A13" s="460"/>
      <c r="B13" s="181" t="s">
        <v>215</v>
      </c>
      <c r="C13" s="182">
        <v>15</v>
      </c>
      <c r="D13" s="182">
        <v>18</v>
      </c>
      <c r="E13" s="183">
        <v>33</v>
      </c>
      <c r="F13" s="460"/>
      <c r="G13" s="172" t="s">
        <v>215</v>
      </c>
      <c r="H13" s="173">
        <v>40</v>
      </c>
      <c r="I13" s="173">
        <v>47</v>
      </c>
      <c r="J13" s="174">
        <v>87</v>
      </c>
      <c r="L13" s="462"/>
      <c r="M13" s="196" t="s">
        <v>216</v>
      </c>
      <c r="N13" s="197">
        <v>1935</v>
      </c>
      <c r="O13" s="197">
        <v>1912</v>
      </c>
      <c r="P13" s="198">
        <v>3847</v>
      </c>
      <c r="Q13" s="462"/>
      <c r="R13" s="196" t="s">
        <v>216</v>
      </c>
      <c r="S13" s="197">
        <v>8224</v>
      </c>
      <c r="T13" s="197">
        <v>7901</v>
      </c>
      <c r="U13" s="198">
        <v>16125</v>
      </c>
      <c r="W13" s="435" t="s">
        <v>84</v>
      </c>
      <c r="X13" s="436"/>
      <c r="Y13" s="206">
        <f>J24</f>
        <v>1507</v>
      </c>
    </row>
    <row r="14" spans="1:33" ht="28.5" customHeight="1" thickBot="1">
      <c r="A14" s="460"/>
      <c r="B14" s="181" t="s">
        <v>217</v>
      </c>
      <c r="C14" s="182">
        <v>7</v>
      </c>
      <c r="D14" s="182">
        <v>13</v>
      </c>
      <c r="E14" s="183">
        <v>20</v>
      </c>
      <c r="F14" s="460"/>
      <c r="G14" s="172" t="s">
        <v>217</v>
      </c>
      <c r="H14" s="173">
        <v>33</v>
      </c>
      <c r="I14" s="173">
        <v>35</v>
      </c>
      <c r="J14" s="174">
        <v>68</v>
      </c>
      <c r="L14" s="462"/>
      <c r="M14" s="196" t="s">
        <v>218</v>
      </c>
      <c r="N14" s="197">
        <v>1849</v>
      </c>
      <c r="O14" s="197">
        <v>1832</v>
      </c>
      <c r="P14" s="198">
        <v>3681</v>
      </c>
      <c r="Q14" s="462"/>
      <c r="R14" s="196" t="s">
        <v>218</v>
      </c>
      <c r="S14" s="197">
        <v>7846</v>
      </c>
      <c r="T14" s="197">
        <v>7471</v>
      </c>
      <c r="U14" s="198">
        <v>15317</v>
      </c>
      <c r="W14" s="463" t="s">
        <v>86</v>
      </c>
      <c r="X14" s="464"/>
      <c r="Y14" s="206">
        <f>E24</f>
        <v>438</v>
      </c>
    </row>
    <row r="15" spans="1:33" ht="23" customHeight="1">
      <c r="A15" s="460"/>
      <c r="B15" s="181" t="s">
        <v>219</v>
      </c>
      <c r="C15" s="182">
        <v>15</v>
      </c>
      <c r="D15" s="182">
        <v>16</v>
      </c>
      <c r="E15" s="183">
        <v>31</v>
      </c>
      <c r="F15" s="460"/>
      <c r="G15" s="172" t="s">
        <v>219</v>
      </c>
      <c r="H15" s="173">
        <v>36</v>
      </c>
      <c r="I15" s="173">
        <v>44</v>
      </c>
      <c r="J15" s="174">
        <v>80</v>
      </c>
      <c r="L15" s="462"/>
      <c r="M15" s="196" t="s">
        <v>220</v>
      </c>
      <c r="N15" s="197">
        <v>1631</v>
      </c>
      <c r="O15" s="197">
        <v>1738</v>
      </c>
      <c r="P15" s="198">
        <v>3369</v>
      </c>
      <c r="Q15" s="462"/>
      <c r="R15" s="196" t="s">
        <v>220</v>
      </c>
      <c r="S15" s="197">
        <v>7257</v>
      </c>
      <c r="T15" s="197">
        <v>7089</v>
      </c>
      <c r="U15" s="198">
        <v>14346</v>
      </c>
    </row>
    <row r="16" spans="1:33" ht="23.5" customHeight="1">
      <c r="A16" s="460"/>
      <c r="B16" s="181" t="s">
        <v>221</v>
      </c>
      <c r="C16" s="182">
        <v>11</v>
      </c>
      <c r="D16" s="182">
        <v>12</v>
      </c>
      <c r="E16" s="183">
        <v>23</v>
      </c>
      <c r="F16" s="460"/>
      <c r="G16" s="172" t="s">
        <v>221</v>
      </c>
      <c r="H16" s="173">
        <v>50</v>
      </c>
      <c r="I16" s="173">
        <v>35</v>
      </c>
      <c r="J16" s="174">
        <v>85</v>
      </c>
      <c r="L16" s="462"/>
      <c r="M16" s="196" t="s">
        <v>222</v>
      </c>
      <c r="N16" s="197">
        <v>1832</v>
      </c>
      <c r="O16" s="197">
        <v>1863</v>
      </c>
      <c r="P16" s="198">
        <v>3695</v>
      </c>
      <c r="Q16" s="462"/>
      <c r="R16" s="196" t="s">
        <v>222</v>
      </c>
      <c r="S16" s="197">
        <v>7588</v>
      </c>
      <c r="T16" s="197">
        <v>7268</v>
      </c>
      <c r="U16" s="198">
        <v>14856</v>
      </c>
    </row>
    <row r="17" spans="1:21" ht="23">
      <c r="A17" s="460"/>
      <c r="B17" s="181" t="s">
        <v>223</v>
      </c>
      <c r="C17" s="182">
        <v>13</v>
      </c>
      <c r="D17" s="182">
        <v>12</v>
      </c>
      <c r="E17" s="183">
        <v>25</v>
      </c>
      <c r="F17" s="460"/>
      <c r="G17" s="172" t="s">
        <v>223</v>
      </c>
      <c r="H17" s="173">
        <v>46</v>
      </c>
      <c r="I17" s="173">
        <v>39</v>
      </c>
      <c r="J17" s="174">
        <v>85</v>
      </c>
      <c r="L17" s="462"/>
      <c r="M17" s="196" t="s">
        <v>224</v>
      </c>
      <c r="N17" s="197">
        <v>1938</v>
      </c>
      <c r="O17" s="197">
        <v>1900</v>
      </c>
      <c r="P17" s="198">
        <v>3838</v>
      </c>
      <c r="Q17" s="462"/>
      <c r="R17" s="196" t="s">
        <v>224</v>
      </c>
      <c r="S17" s="197">
        <v>7243</v>
      </c>
      <c r="T17" s="197">
        <v>7056</v>
      </c>
      <c r="U17" s="198">
        <v>14299</v>
      </c>
    </row>
    <row r="18" spans="1:21" ht="23">
      <c r="A18" s="460"/>
      <c r="B18" s="181" t="s">
        <v>225</v>
      </c>
      <c r="C18" s="182">
        <v>13</v>
      </c>
      <c r="D18" s="182">
        <v>6</v>
      </c>
      <c r="E18" s="183">
        <v>19</v>
      </c>
      <c r="F18" s="460"/>
      <c r="G18" s="172" t="s">
        <v>225</v>
      </c>
      <c r="H18" s="173">
        <v>46</v>
      </c>
      <c r="I18" s="173">
        <v>32</v>
      </c>
      <c r="J18" s="174">
        <v>78</v>
      </c>
      <c r="L18" s="462"/>
      <c r="M18" s="196" t="s">
        <v>226</v>
      </c>
      <c r="N18" s="197">
        <v>1819</v>
      </c>
      <c r="O18" s="197">
        <v>1851</v>
      </c>
      <c r="P18" s="198">
        <v>3670</v>
      </c>
      <c r="Q18" s="462"/>
      <c r="R18" s="196" t="s">
        <v>226</v>
      </c>
      <c r="S18" s="197">
        <v>7379</v>
      </c>
      <c r="T18" s="197">
        <v>7180</v>
      </c>
      <c r="U18" s="198">
        <v>14559</v>
      </c>
    </row>
    <row r="19" spans="1:21" ht="23">
      <c r="A19" s="460"/>
      <c r="B19" s="181" t="s">
        <v>227</v>
      </c>
      <c r="C19" s="182">
        <v>8</v>
      </c>
      <c r="D19" s="182">
        <v>5</v>
      </c>
      <c r="E19" s="183">
        <v>13</v>
      </c>
      <c r="F19" s="460"/>
      <c r="G19" s="172" t="s">
        <v>227</v>
      </c>
      <c r="H19" s="173">
        <v>38</v>
      </c>
      <c r="I19" s="173">
        <v>36</v>
      </c>
      <c r="J19" s="174">
        <v>74</v>
      </c>
      <c r="L19" s="462"/>
      <c r="M19" s="196" t="s">
        <v>228</v>
      </c>
      <c r="N19" s="197">
        <v>1744</v>
      </c>
      <c r="O19" s="197">
        <v>1829</v>
      </c>
      <c r="P19" s="198">
        <v>3573</v>
      </c>
      <c r="Q19" s="462"/>
      <c r="R19" s="196" t="s">
        <v>228</v>
      </c>
      <c r="S19" s="197">
        <v>6466</v>
      </c>
      <c r="T19" s="197">
        <v>6631</v>
      </c>
      <c r="U19" s="198">
        <v>13097</v>
      </c>
    </row>
    <row r="20" spans="1:21" ht="23">
      <c r="A20" s="460"/>
      <c r="B20" s="181" t="s">
        <v>229</v>
      </c>
      <c r="C20" s="182">
        <v>6</v>
      </c>
      <c r="D20" s="182">
        <v>9</v>
      </c>
      <c r="E20" s="183">
        <v>15</v>
      </c>
      <c r="F20" s="460"/>
      <c r="G20" s="172" t="s">
        <v>229</v>
      </c>
      <c r="H20" s="173">
        <v>22</v>
      </c>
      <c r="I20" s="173">
        <v>33</v>
      </c>
      <c r="J20" s="174">
        <v>55</v>
      </c>
      <c r="L20" s="462"/>
      <c r="M20" s="196" t="s">
        <v>230</v>
      </c>
      <c r="N20" s="197">
        <v>1682</v>
      </c>
      <c r="O20" s="197">
        <v>1700</v>
      </c>
      <c r="P20" s="198">
        <v>3382</v>
      </c>
      <c r="Q20" s="462"/>
      <c r="R20" s="196" t="s">
        <v>230</v>
      </c>
      <c r="S20" s="197">
        <v>6346</v>
      </c>
      <c r="T20" s="197">
        <v>6088</v>
      </c>
      <c r="U20" s="198">
        <v>12434</v>
      </c>
    </row>
    <row r="21" spans="1:21" ht="23">
      <c r="A21" s="460"/>
      <c r="B21" s="181" t="s">
        <v>231</v>
      </c>
      <c r="C21" s="182">
        <v>2</v>
      </c>
      <c r="D21" s="182">
        <v>8</v>
      </c>
      <c r="E21" s="183">
        <v>10</v>
      </c>
      <c r="F21" s="460"/>
      <c r="G21" s="172" t="s">
        <v>231</v>
      </c>
      <c r="H21" s="173">
        <v>11</v>
      </c>
      <c r="I21" s="173">
        <v>22</v>
      </c>
      <c r="J21" s="174">
        <v>33</v>
      </c>
      <c r="L21" s="462"/>
      <c r="M21" s="196" t="s">
        <v>232</v>
      </c>
      <c r="N21" s="197">
        <v>1638</v>
      </c>
      <c r="O21" s="197">
        <v>1741</v>
      </c>
      <c r="P21" s="198">
        <v>3379</v>
      </c>
      <c r="Q21" s="462"/>
      <c r="R21" s="196" t="s">
        <v>232</v>
      </c>
      <c r="S21" s="197">
        <v>5917</v>
      </c>
      <c r="T21" s="197">
        <v>6048</v>
      </c>
      <c r="U21" s="198">
        <v>11965</v>
      </c>
    </row>
    <row r="22" spans="1:21" ht="23">
      <c r="A22" s="460"/>
      <c r="B22" s="181" t="s">
        <v>233</v>
      </c>
      <c r="C22" s="182">
        <v>2</v>
      </c>
      <c r="D22" s="184" t="s">
        <v>199</v>
      </c>
      <c r="E22" s="183">
        <v>2</v>
      </c>
      <c r="F22" s="460"/>
      <c r="G22" s="172" t="s">
        <v>233</v>
      </c>
      <c r="H22" s="173">
        <v>3</v>
      </c>
      <c r="I22" s="173">
        <v>1</v>
      </c>
      <c r="J22" s="174">
        <v>4</v>
      </c>
      <c r="L22" s="462"/>
      <c r="M22" s="196" t="s">
        <v>234</v>
      </c>
      <c r="N22" s="197">
        <v>1394</v>
      </c>
      <c r="O22" s="197">
        <v>1656</v>
      </c>
      <c r="P22" s="198">
        <v>3050</v>
      </c>
      <c r="Q22" s="462"/>
      <c r="R22" s="196" t="s">
        <v>234</v>
      </c>
      <c r="S22" s="197">
        <v>5230</v>
      </c>
      <c r="T22" s="197">
        <v>5641</v>
      </c>
      <c r="U22" s="198">
        <v>10871</v>
      </c>
    </row>
    <row r="23" spans="1:21" ht="23.5" thickBot="1">
      <c r="A23" s="460"/>
      <c r="B23" s="185" t="s">
        <v>235</v>
      </c>
      <c r="C23" s="186">
        <v>1</v>
      </c>
      <c r="D23" s="187" t="s">
        <v>199</v>
      </c>
      <c r="E23" s="188">
        <v>1</v>
      </c>
      <c r="F23" s="460"/>
      <c r="G23" s="175" t="s">
        <v>235</v>
      </c>
      <c r="H23" s="176">
        <v>1</v>
      </c>
      <c r="I23" s="176">
        <v>1</v>
      </c>
      <c r="J23" s="177">
        <v>2</v>
      </c>
      <c r="L23" s="462"/>
      <c r="M23" s="196" t="s">
        <v>236</v>
      </c>
      <c r="N23" s="197">
        <v>1680</v>
      </c>
      <c r="O23" s="197">
        <v>1796</v>
      </c>
      <c r="P23" s="198">
        <v>3476</v>
      </c>
      <c r="Q23" s="462"/>
      <c r="R23" s="196" t="s">
        <v>236</v>
      </c>
      <c r="S23" s="197">
        <v>5836</v>
      </c>
      <c r="T23" s="197">
        <v>6192</v>
      </c>
      <c r="U23" s="198">
        <v>12028</v>
      </c>
    </row>
    <row r="24" spans="1:21" ht="15" thickBot="1">
      <c r="A24" s="461"/>
      <c r="B24" s="191" t="s">
        <v>237</v>
      </c>
      <c r="C24" s="256">
        <v>267</v>
      </c>
      <c r="D24" s="256">
        <v>171</v>
      </c>
      <c r="E24" s="257">
        <v>438</v>
      </c>
      <c r="F24" s="461"/>
      <c r="G24" s="192" t="s">
        <v>237</v>
      </c>
      <c r="H24" s="258">
        <v>921</v>
      </c>
      <c r="I24" s="258">
        <v>586</v>
      </c>
      <c r="J24" s="259">
        <v>1507</v>
      </c>
      <c r="L24" s="462"/>
      <c r="M24" s="196" t="s">
        <v>238</v>
      </c>
      <c r="N24" s="197">
        <v>1448</v>
      </c>
      <c r="O24" s="197">
        <v>1687</v>
      </c>
      <c r="P24" s="198">
        <v>3135</v>
      </c>
      <c r="Q24" s="462"/>
      <c r="R24" s="196" t="s">
        <v>238</v>
      </c>
      <c r="S24" s="197">
        <v>5573</v>
      </c>
      <c r="T24" s="197">
        <v>6024</v>
      </c>
      <c r="U24" s="198">
        <v>11597</v>
      </c>
    </row>
    <row r="25" spans="1:21">
      <c r="L25" s="462"/>
      <c r="M25" s="196" t="s">
        <v>239</v>
      </c>
      <c r="N25" s="197">
        <v>1593</v>
      </c>
      <c r="O25" s="197">
        <v>1704</v>
      </c>
      <c r="P25" s="198">
        <v>3297</v>
      </c>
      <c r="Q25" s="462"/>
      <c r="R25" s="196" t="s">
        <v>239</v>
      </c>
      <c r="S25" s="197">
        <v>5501</v>
      </c>
      <c r="T25" s="197">
        <v>5638</v>
      </c>
      <c r="U25" s="198">
        <v>11139</v>
      </c>
    </row>
    <row r="26" spans="1:21">
      <c r="L26" s="462"/>
      <c r="M26" s="196" t="s">
        <v>240</v>
      </c>
      <c r="N26" s="197">
        <v>1506</v>
      </c>
      <c r="O26" s="197">
        <v>1756</v>
      </c>
      <c r="P26" s="198">
        <v>3262</v>
      </c>
      <c r="Q26" s="462"/>
      <c r="R26" s="196" t="s">
        <v>240</v>
      </c>
      <c r="S26" s="197">
        <v>5405</v>
      </c>
      <c r="T26" s="197">
        <v>5958</v>
      </c>
      <c r="U26" s="198">
        <v>11363</v>
      </c>
    </row>
    <row r="27" spans="1:21">
      <c r="L27" s="462"/>
      <c r="M27" s="196" t="s">
        <v>241</v>
      </c>
      <c r="N27" s="197">
        <v>1481</v>
      </c>
      <c r="O27" s="197">
        <v>1641</v>
      </c>
      <c r="P27" s="198">
        <v>3122</v>
      </c>
      <c r="Q27" s="462"/>
      <c r="R27" s="196" t="s">
        <v>241</v>
      </c>
      <c r="S27" s="197">
        <v>5082</v>
      </c>
      <c r="T27" s="197">
        <v>5344</v>
      </c>
      <c r="U27" s="198">
        <v>10426</v>
      </c>
    </row>
    <row r="28" spans="1:21">
      <c r="L28" s="462"/>
      <c r="M28" s="196" t="s">
        <v>242</v>
      </c>
      <c r="N28" s="197">
        <v>1508</v>
      </c>
      <c r="O28" s="197">
        <v>1593</v>
      </c>
      <c r="P28" s="198">
        <v>3101</v>
      </c>
      <c r="Q28" s="462"/>
      <c r="R28" s="196" t="s">
        <v>242</v>
      </c>
      <c r="S28" s="197">
        <v>5403</v>
      </c>
      <c r="T28" s="197">
        <v>5713</v>
      </c>
      <c r="U28" s="198">
        <v>11116</v>
      </c>
    </row>
    <row r="29" spans="1:21">
      <c r="L29" s="462"/>
      <c r="M29" s="196" t="s">
        <v>243</v>
      </c>
      <c r="N29" s="197">
        <v>1364</v>
      </c>
      <c r="O29" s="197">
        <v>1451</v>
      </c>
      <c r="P29" s="198">
        <v>2815</v>
      </c>
      <c r="Q29" s="462"/>
      <c r="R29" s="196" t="s">
        <v>243</v>
      </c>
      <c r="S29" s="197">
        <v>4807</v>
      </c>
      <c r="T29" s="197">
        <v>5271</v>
      </c>
      <c r="U29" s="198">
        <v>10078</v>
      </c>
    </row>
    <row r="30" spans="1:21">
      <c r="L30" s="462"/>
      <c r="M30" s="196" t="s">
        <v>244</v>
      </c>
      <c r="N30" s="197">
        <v>1339</v>
      </c>
      <c r="O30" s="197">
        <v>1531</v>
      </c>
      <c r="P30" s="198">
        <v>2870</v>
      </c>
      <c r="Q30" s="462"/>
      <c r="R30" s="196" t="s">
        <v>244</v>
      </c>
      <c r="S30" s="197">
        <v>4707</v>
      </c>
      <c r="T30" s="197">
        <v>5459</v>
      </c>
      <c r="U30" s="198">
        <v>10166</v>
      </c>
    </row>
    <row r="31" spans="1:21">
      <c r="L31" s="462"/>
      <c r="M31" s="196" t="s">
        <v>245</v>
      </c>
      <c r="N31" s="197">
        <v>1324</v>
      </c>
      <c r="O31" s="197">
        <v>1416</v>
      </c>
      <c r="P31" s="198">
        <v>2740</v>
      </c>
      <c r="Q31" s="462"/>
      <c r="R31" s="196" t="s">
        <v>245</v>
      </c>
      <c r="S31" s="197">
        <v>4531</v>
      </c>
      <c r="T31" s="197">
        <v>4783</v>
      </c>
      <c r="U31" s="198">
        <v>9314</v>
      </c>
    </row>
    <row r="32" spans="1:21">
      <c r="L32" s="462"/>
      <c r="M32" s="196" t="s">
        <v>246</v>
      </c>
      <c r="N32" s="197">
        <v>1120</v>
      </c>
      <c r="O32" s="197">
        <v>1150</v>
      </c>
      <c r="P32" s="198">
        <v>2270</v>
      </c>
      <c r="Q32" s="462"/>
      <c r="R32" s="196" t="s">
        <v>246</v>
      </c>
      <c r="S32" s="197">
        <v>3937</v>
      </c>
      <c r="T32" s="197">
        <v>4174</v>
      </c>
      <c r="U32" s="198">
        <v>8111</v>
      </c>
    </row>
    <row r="33" spans="12:21">
      <c r="L33" s="462"/>
      <c r="M33" s="196" t="s">
        <v>247</v>
      </c>
      <c r="N33" s="197">
        <v>1153</v>
      </c>
      <c r="O33" s="197">
        <v>1330</v>
      </c>
      <c r="P33" s="198">
        <v>2483</v>
      </c>
      <c r="Q33" s="462"/>
      <c r="R33" s="196" t="s">
        <v>247</v>
      </c>
      <c r="S33" s="197">
        <v>4559</v>
      </c>
      <c r="T33" s="197">
        <v>4981</v>
      </c>
      <c r="U33" s="198">
        <v>9540</v>
      </c>
    </row>
    <row r="34" spans="12:21">
      <c r="L34" s="462"/>
      <c r="M34" s="196" t="s">
        <v>248</v>
      </c>
      <c r="N34" s="197">
        <v>1112</v>
      </c>
      <c r="O34" s="197">
        <v>1103</v>
      </c>
      <c r="P34" s="198">
        <v>2215</v>
      </c>
      <c r="Q34" s="462"/>
      <c r="R34" s="196" t="s">
        <v>248</v>
      </c>
      <c r="S34" s="197">
        <v>3777</v>
      </c>
      <c r="T34" s="197">
        <v>4091</v>
      </c>
      <c r="U34" s="198">
        <v>7868</v>
      </c>
    </row>
    <row r="35" spans="12:21">
      <c r="L35" s="462"/>
      <c r="M35" s="196" t="s">
        <v>249</v>
      </c>
      <c r="N35" s="197">
        <v>941</v>
      </c>
      <c r="O35" s="197">
        <v>1118</v>
      </c>
      <c r="P35" s="198">
        <v>2059</v>
      </c>
      <c r="Q35" s="462"/>
      <c r="R35" s="196" t="s">
        <v>249</v>
      </c>
      <c r="S35" s="197">
        <v>3735</v>
      </c>
      <c r="T35" s="197">
        <v>4258</v>
      </c>
      <c r="U35" s="198">
        <v>7993</v>
      </c>
    </row>
    <row r="36" spans="12:21">
      <c r="L36" s="462"/>
      <c r="M36" s="196" t="s">
        <v>250</v>
      </c>
      <c r="N36" s="197">
        <v>1034</v>
      </c>
      <c r="O36" s="197">
        <v>1118</v>
      </c>
      <c r="P36" s="198">
        <v>2152</v>
      </c>
      <c r="Q36" s="462"/>
      <c r="R36" s="196" t="s">
        <v>250</v>
      </c>
      <c r="S36" s="197">
        <v>3748</v>
      </c>
      <c r="T36" s="197">
        <v>3895</v>
      </c>
      <c r="U36" s="198">
        <v>7643</v>
      </c>
    </row>
    <row r="37" spans="12:21">
      <c r="L37" s="462"/>
      <c r="M37" s="196" t="s">
        <v>251</v>
      </c>
      <c r="N37" s="197">
        <v>1073</v>
      </c>
      <c r="O37" s="197">
        <v>1128</v>
      </c>
      <c r="P37" s="198">
        <v>2201</v>
      </c>
      <c r="Q37" s="462"/>
      <c r="R37" s="196" t="s">
        <v>251</v>
      </c>
      <c r="S37" s="197">
        <v>3476</v>
      </c>
      <c r="T37" s="197">
        <v>3696</v>
      </c>
      <c r="U37" s="198">
        <v>7172</v>
      </c>
    </row>
    <row r="38" spans="12:21">
      <c r="L38" s="462"/>
      <c r="M38" s="196" t="s">
        <v>252</v>
      </c>
      <c r="N38" s="197">
        <v>1058</v>
      </c>
      <c r="O38" s="197">
        <v>1113</v>
      </c>
      <c r="P38" s="198">
        <v>2171</v>
      </c>
      <c r="Q38" s="462"/>
      <c r="R38" s="196" t="s">
        <v>252</v>
      </c>
      <c r="S38" s="197">
        <v>4132</v>
      </c>
      <c r="T38" s="197">
        <v>4388</v>
      </c>
      <c r="U38" s="198">
        <v>8520</v>
      </c>
    </row>
    <row r="39" spans="12:21">
      <c r="L39" s="462"/>
      <c r="M39" s="196" t="s">
        <v>253</v>
      </c>
      <c r="N39" s="197">
        <v>871</v>
      </c>
      <c r="O39" s="197">
        <v>948</v>
      </c>
      <c r="P39" s="198">
        <v>1819</v>
      </c>
      <c r="Q39" s="462"/>
      <c r="R39" s="196" t="s">
        <v>253</v>
      </c>
      <c r="S39" s="197">
        <v>3968</v>
      </c>
      <c r="T39" s="197">
        <v>4156</v>
      </c>
      <c r="U39" s="198">
        <v>8124</v>
      </c>
    </row>
    <row r="40" spans="12:21">
      <c r="L40" s="462"/>
      <c r="M40" s="196" t="s">
        <v>254</v>
      </c>
      <c r="N40" s="197">
        <v>923</v>
      </c>
      <c r="O40" s="197">
        <v>1014</v>
      </c>
      <c r="P40" s="198">
        <v>1937</v>
      </c>
      <c r="Q40" s="462"/>
      <c r="R40" s="196" t="s">
        <v>254</v>
      </c>
      <c r="S40" s="197">
        <v>3253</v>
      </c>
      <c r="T40" s="197">
        <v>3635</v>
      </c>
      <c r="U40" s="198">
        <v>6888</v>
      </c>
    </row>
    <row r="41" spans="12:21">
      <c r="L41" s="462"/>
      <c r="M41" s="196" t="s">
        <v>255</v>
      </c>
      <c r="N41" s="197">
        <v>1028</v>
      </c>
      <c r="O41" s="197">
        <v>1045</v>
      </c>
      <c r="P41" s="198">
        <v>2073</v>
      </c>
      <c r="Q41" s="462"/>
      <c r="R41" s="196" t="s">
        <v>255</v>
      </c>
      <c r="S41" s="197">
        <v>3429</v>
      </c>
      <c r="T41" s="197">
        <v>3680</v>
      </c>
      <c r="U41" s="198">
        <v>7109</v>
      </c>
    </row>
    <row r="42" spans="12:21">
      <c r="L42" s="462"/>
      <c r="M42" s="196" t="s">
        <v>256</v>
      </c>
      <c r="N42" s="197">
        <v>932</v>
      </c>
      <c r="O42" s="197">
        <v>1294</v>
      </c>
      <c r="P42" s="198">
        <v>2226</v>
      </c>
      <c r="Q42" s="462"/>
      <c r="R42" s="196" t="s">
        <v>256</v>
      </c>
      <c r="S42" s="197">
        <v>3136</v>
      </c>
      <c r="T42" s="197">
        <v>3814</v>
      </c>
      <c r="U42" s="198">
        <v>6950</v>
      </c>
    </row>
    <row r="43" spans="12:21">
      <c r="L43" s="462"/>
      <c r="M43" s="196" t="s">
        <v>257</v>
      </c>
      <c r="N43" s="197">
        <v>987</v>
      </c>
      <c r="O43" s="197">
        <v>1009</v>
      </c>
      <c r="P43" s="198">
        <v>1996</v>
      </c>
      <c r="Q43" s="462"/>
      <c r="R43" s="196" t="s">
        <v>257</v>
      </c>
      <c r="S43" s="197">
        <v>3831</v>
      </c>
      <c r="T43" s="197">
        <v>3885</v>
      </c>
      <c r="U43" s="198">
        <v>7716</v>
      </c>
    </row>
    <row r="44" spans="12:21">
      <c r="L44" s="462"/>
      <c r="M44" s="196" t="s">
        <v>258</v>
      </c>
      <c r="N44" s="197">
        <v>783</v>
      </c>
      <c r="O44" s="197">
        <v>995</v>
      </c>
      <c r="P44" s="198">
        <v>1778</v>
      </c>
      <c r="Q44" s="462"/>
      <c r="R44" s="196" t="s">
        <v>258</v>
      </c>
      <c r="S44" s="197">
        <v>2874</v>
      </c>
      <c r="T44" s="197">
        <v>3273</v>
      </c>
      <c r="U44" s="198">
        <v>6147</v>
      </c>
    </row>
    <row r="45" spans="12:21">
      <c r="L45" s="462"/>
      <c r="M45" s="196" t="s">
        <v>259</v>
      </c>
      <c r="N45" s="197">
        <v>952</v>
      </c>
      <c r="O45" s="197">
        <v>942</v>
      </c>
      <c r="P45" s="198">
        <v>1894</v>
      </c>
      <c r="Q45" s="462"/>
      <c r="R45" s="196" t="s">
        <v>259</v>
      </c>
      <c r="S45" s="197">
        <v>3335</v>
      </c>
      <c r="T45" s="197">
        <v>3416</v>
      </c>
      <c r="U45" s="198">
        <v>6751</v>
      </c>
    </row>
    <row r="46" spans="12:21">
      <c r="L46" s="462"/>
      <c r="M46" s="196" t="s">
        <v>260</v>
      </c>
      <c r="N46" s="197">
        <v>915</v>
      </c>
      <c r="O46" s="197">
        <v>867</v>
      </c>
      <c r="P46" s="198">
        <v>1782</v>
      </c>
      <c r="Q46" s="462"/>
      <c r="R46" s="196" t="s">
        <v>260</v>
      </c>
      <c r="S46" s="197">
        <v>3027</v>
      </c>
      <c r="T46" s="197">
        <v>3170</v>
      </c>
      <c r="U46" s="198">
        <v>6197</v>
      </c>
    </row>
    <row r="47" spans="12:21">
      <c r="L47" s="462"/>
      <c r="M47" s="196" t="s">
        <v>261</v>
      </c>
      <c r="N47" s="197">
        <v>711</v>
      </c>
      <c r="O47" s="197">
        <v>855</v>
      </c>
      <c r="P47" s="198">
        <v>1566</v>
      </c>
      <c r="Q47" s="462"/>
      <c r="R47" s="196" t="s">
        <v>261</v>
      </c>
      <c r="S47" s="197">
        <v>2633</v>
      </c>
      <c r="T47" s="197">
        <v>2884</v>
      </c>
      <c r="U47" s="198">
        <v>5517</v>
      </c>
    </row>
    <row r="48" spans="12:21">
      <c r="L48" s="462"/>
      <c r="M48" s="196" t="s">
        <v>262</v>
      </c>
      <c r="N48" s="197">
        <v>825</v>
      </c>
      <c r="O48" s="197">
        <v>891</v>
      </c>
      <c r="P48" s="198">
        <v>1716</v>
      </c>
      <c r="Q48" s="462"/>
      <c r="R48" s="196" t="s">
        <v>262</v>
      </c>
      <c r="S48" s="197">
        <v>3468</v>
      </c>
      <c r="T48" s="197">
        <v>3702</v>
      </c>
      <c r="U48" s="198">
        <v>7170</v>
      </c>
    </row>
    <row r="49" spans="12:21">
      <c r="L49" s="462"/>
      <c r="M49" s="196" t="s">
        <v>263</v>
      </c>
      <c r="N49" s="197">
        <v>808</v>
      </c>
      <c r="O49" s="197">
        <v>857</v>
      </c>
      <c r="P49" s="198">
        <v>1665</v>
      </c>
      <c r="Q49" s="462"/>
      <c r="R49" s="196" t="s">
        <v>263</v>
      </c>
      <c r="S49" s="197">
        <v>2603</v>
      </c>
      <c r="T49" s="197">
        <v>2815</v>
      </c>
      <c r="U49" s="198">
        <v>5418</v>
      </c>
    </row>
    <row r="50" spans="12:21">
      <c r="L50" s="462"/>
      <c r="M50" s="196" t="s">
        <v>264</v>
      </c>
      <c r="N50" s="197">
        <v>714</v>
      </c>
      <c r="O50" s="197">
        <v>803</v>
      </c>
      <c r="P50" s="198">
        <v>1517</v>
      </c>
      <c r="Q50" s="462"/>
      <c r="R50" s="196" t="s">
        <v>264</v>
      </c>
      <c r="S50" s="197">
        <v>2460</v>
      </c>
      <c r="T50" s="197">
        <v>2704</v>
      </c>
      <c r="U50" s="198">
        <v>5164</v>
      </c>
    </row>
    <row r="51" spans="12:21">
      <c r="L51" s="462"/>
      <c r="M51" s="196" t="s">
        <v>265</v>
      </c>
      <c r="N51" s="197">
        <v>698</v>
      </c>
      <c r="O51" s="197">
        <v>719</v>
      </c>
      <c r="P51" s="198">
        <v>1417</v>
      </c>
      <c r="Q51" s="462"/>
      <c r="R51" s="196" t="s">
        <v>265</v>
      </c>
      <c r="S51" s="197">
        <v>2558</v>
      </c>
      <c r="T51" s="197">
        <v>2679</v>
      </c>
      <c r="U51" s="198">
        <v>5237</v>
      </c>
    </row>
    <row r="52" spans="12:21">
      <c r="L52" s="462"/>
      <c r="M52" s="196" t="s">
        <v>266</v>
      </c>
      <c r="N52" s="197">
        <v>588</v>
      </c>
      <c r="O52" s="197">
        <v>608</v>
      </c>
      <c r="P52" s="198">
        <v>1196</v>
      </c>
      <c r="Q52" s="462"/>
      <c r="R52" s="196" t="s">
        <v>266</v>
      </c>
      <c r="S52" s="197">
        <v>2154</v>
      </c>
      <c r="T52" s="197">
        <v>2239</v>
      </c>
      <c r="U52" s="198">
        <v>4393</v>
      </c>
    </row>
    <row r="53" spans="12:21">
      <c r="L53" s="462"/>
      <c r="M53" s="196" t="s">
        <v>267</v>
      </c>
      <c r="N53" s="197">
        <v>624</v>
      </c>
      <c r="O53" s="197">
        <v>781</v>
      </c>
      <c r="P53" s="198">
        <v>1405</v>
      </c>
      <c r="Q53" s="462"/>
      <c r="R53" s="196" t="s">
        <v>267</v>
      </c>
      <c r="S53" s="197">
        <v>2387</v>
      </c>
      <c r="T53" s="197">
        <v>2457</v>
      </c>
      <c r="U53" s="198">
        <v>4844</v>
      </c>
    </row>
    <row r="54" spans="12:21">
      <c r="L54" s="462"/>
      <c r="M54" s="196" t="s">
        <v>268</v>
      </c>
      <c r="N54" s="197">
        <v>587</v>
      </c>
      <c r="O54" s="197">
        <v>591</v>
      </c>
      <c r="P54" s="198">
        <v>1178</v>
      </c>
      <c r="Q54" s="462"/>
      <c r="R54" s="196" t="s">
        <v>268</v>
      </c>
      <c r="S54" s="197">
        <v>2002</v>
      </c>
      <c r="T54" s="197">
        <v>1961</v>
      </c>
      <c r="U54" s="198">
        <v>3963</v>
      </c>
    </row>
    <row r="55" spans="12:21">
      <c r="L55" s="462"/>
      <c r="M55" s="196" t="s">
        <v>269</v>
      </c>
      <c r="N55" s="197">
        <v>542</v>
      </c>
      <c r="O55" s="197">
        <v>593</v>
      </c>
      <c r="P55" s="198">
        <v>1135</v>
      </c>
      <c r="Q55" s="462"/>
      <c r="R55" s="196" t="s">
        <v>269</v>
      </c>
      <c r="S55" s="197">
        <v>1762</v>
      </c>
      <c r="T55" s="197">
        <v>1878</v>
      </c>
      <c r="U55" s="198">
        <v>3640</v>
      </c>
    </row>
    <row r="56" spans="12:21">
      <c r="L56" s="462"/>
      <c r="M56" s="196" t="s">
        <v>270</v>
      </c>
      <c r="N56" s="197">
        <v>510</v>
      </c>
      <c r="O56" s="197">
        <v>574</v>
      </c>
      <c r="P56" s="198">
        <v>1084</v>
      </c>
      <c r="Q56" s="462"/>
      <c r="R56" s="196" t="s">
        <v>270</v>
      </c>
      <c r="S56" s="197">
        <v>1857</v>
      </c>
      <c r="T56" s="197">
        <v>1909</v>
      </c>
      <c r="U56" s="198">
        <v>3766</v>
      </c>
    </row>
    <row r="57" spans="12:21">
      <c r="L57" s="462"/>
      <c r="M57" s="196" t="s">
        <v>271</v>
      </c>
      <c r="N57" s="197">
        <v>478</v>
      </c>
      <c r="O57" s="197">
        <v>503</v>
      </c>
      <c r="P57" s="198">
        <v>981</v>
      </c>
      <c r="Q57" s="462"/>
      <c r="R57" s="196" t="s">
        <v>271</v>
      </c>
      <c r="S57" s="197">
        <v>1889</v>
      </c>
      <c r="T57" s="197">
        <v>1874</v>
      </c>
      <c r="U57" s="198">
        <v>3763</v>
      </c>
    </row>
    <row r="58" spans="12:21">
      <c r="L58" s="462"/>
      <c r="M58" s="196" t="s">
        <v>272</v>
      </c>
      <c r="N58" s="197">
        <v>611</v>
      </c>
      <c r="O58" s="197">
        <v>586</v>
      </c>
      <c r="P58" s="198">
        <v>1197</v>
      </c>
      <c r="Q58" s="462"/>
      <c r="R58" s="196" t="s">
        <v>272</v>
      </c>
      <c r="S58" s="197">
        <v>2320</v>
      </c>
      <c r="T58" s="197">
        <v>2306</v>
      </c>
      <c r="U58" s="198">
        <v>4626</v>
      </c>
    </row>
    <row r="59" spans="12:21">
      <c r="L59" s="462"/>
      <c r="M59" s="196" t="s">
        <v>273</v>
      </c>
      <c r="N59" s="197">
        <v>406</v>
      </c>
      <c r="O59" s="197">
        <v>398</v>
      </c>
      <c r="P59" s="198">
        <v>804</v>
      </c>
      <c r="Q59" s="462"/>
      <c r="R59" s="196" t="s">
        <v>273</v>
      </c>
      <c r="S59" s="197">
        <v>1543</v>
      </c>
      <c r="T59" s="197">
        <v>1562</v>
      </c>
      <c r="U59" s="198">
        <v>3105</v>
      </c>
    </row>
    <row r="60" spans="12:21">
      <c r="L60" s="462"/>
      <c r="M60" s="196" t="s">
        <v>274</v>
      </c>
      <c r="N60" s="197">
        <v>447</v>
      </c>
      <c r="O60" s="197">
        <v>474</v>
      </c>
      <c r="P60" s="198">
        <v>921</v>
      </c>
      <c r="Q60" s="462"/>
      <c r="R60" s="196" t="s">
        <v>274</v>
      </c>
      <c r="S60" s="197">
        <v>1566</v>
      </c>
      <c r="T60" s="197">
        <v>1669</v>
      </c>
      <c r="U60" s="198">
        <v>3235</v>
      </c>
    </row>
    <row r="61" spans="12:21">
      <c r="L61" s="462"/>
      <c r="M61" s="196" t="s">
        <v>275</v>
      </c>
      <c r="N61" s="197">
        <v>383</v>
      </c>
      <c r="O61" s="197">
        <v>441</v>
      </c>
      <c r="P61" s="198">
        <v>824</v>
      </c>
      <c r="Q61" s="462"/>
      <c r="R61" s="196" t="s">
        <v>275</v>
      </c>
      <c r="S61" s="197">
        <v>1482</v>
      </c>
      <c r="T61" s="197">
        <v>1612</v>
      </c>
      <c r="U61" s="198">
        <v>3094</v>
      </c>
    </row>
    <row r="62" spans="12:21">
      <c r="L62" s="462"/>
      <c r="M62" s="196" t="s">
        <v>276</v>
      </c>
      <c r="N62" s="197">
        <v>347</v>
      </c>
      <c r="O62" s="197">
        <v>377</v>
      </c>
      <c r="P62" s="198">
        <v>724</v>
      </c>
      <c r="Q62" s="462"/>
      <c r="R62" s="196" t="s">
        <v>276</v>
      </c>
      <c r="S62" s="197">
        <v>1296</v>
      </c>
      <c r="T62" s="197">
        <v>1387</v>
      </c>
      <c r="U62" s="198">
        <v>2683</v>
      </c>
    </row>
    <row r="63" spans="12:21">
      <c r="L63" s="462"/>
      <c r="M63" s="196" t="s">
        <v>277</v>
      </c>
      <c r="N63" s="197">
        <v>440</v>
      </c>
      <c r="O63" s="197">
        <v>409</v>
      </c>
      <c r="P63" s="198">
        <v>849</v>
      </c>
      <c r="Q63" s="462"/>
      <c r="R63" s="196" t="s">
        <v>277</v>
      </c>
      <c r="S63" s="197">
        <v>1588</v>
      </c>
      <c r="T63" s="197">
        <v>1667</v>
      </c>
      <c r="U63" s="198">
        <v>3255</v>
      </c>
    </row>
    <row r="64" spans="12:21">
      <c r="L64" s="462"/>
      <c r="M64" s="196" t="s">
        <v>278</v>
      </c>
      <c r="N64" s="197">
        <v>397</v>
      </c>
      <c r="O64" s="197">
        <v>374</v>
      </c>
      <c r="P64" s="198">
        <v>771</v>
      </c>
      <c r="Q64" s="462"/>
      <c r="R64" s="196" t="s">
        <v>278</v>
      </c>
      <c r="S64" s="197">
        <v>1164</v>
      </c>
      <c r="T64" s="197">
        <v>1233</v>
      </c>
      <c r="U64" s="198">
        <v>2397</v>
      </c>
    </row>
    <row r="65" spans="12:21">
      <c r="L65" s="462"/>
      <c r="M65" s="196" t="s">
        <v>279</v>
      </c>
      <c r="N65" s="197">
        <v>317</v>
      </c>
      <c r="O65" s="197">
        <v>295</v>
      </c>
      <c r="P65" s="198">
        <v>612</v>
      </c>
      <c r="Q65" s="462"/>
      <c r="R65" s="196" t="s">
        <v>279</v>
      </c>
      <c r="S65" s="197">
        <v>1145</v>
      </c>
      <c r="T65" s="197">
        <v>1255</v>
      </c>
      <c r="U65" s="198">
        <v>2400</v>
      </c>
    </row>
    <row r="66" spans="12:21">
      <c r="L66" s="462"/>
      <c r="M66" s="196" t="s">
        <v>280</v>
      </c>
      <c r="N66" s="197">
        <v>297</v>
      </c>
      <c r="O66" s="197">
        <v>262</v>
      </c>
      <c r="P66" s="198">
        <v>559</v>
      </c>
      <c r="Q66" s="462"/>
      <c r="R66" s="196" t="s">
        <v>280</v>
      </c>
      <c r="S66" s="197">
        <v>1085</v>
      </c>
      <c r="T66" s="197">
        <v>1169</v>
      </c>
      <c r="U66" s="198">
        <v>2254</v>
      </c>
    </row>
    <row r="67" spans="12:21">
      <c r="L67" s="462"/>
      <c r="M67" s="196" t="s">
        <v>281</v>
      </c>
      <c r="N67" s="197">
        <v>288</v>
      </c>
      <c r="O67" s="197">
        <v>281</v>
      </c>
      <c r="P67" s="198">
        <v>569</v>
      </c>
      <c r="Q67" s="462"/>
      <c r="R67" s="196" t="s">
        <v>281</v>
      </c>
      <c r="S67" s="197">
        <v>1039</v>
      </c>
      <c r="T67" s="197">
        <v>1069</v>
      </c>
      <c r="U67" s="198">
        <v>2108</v>
      </c>
    </row>
    <row r="68" spans="12:21">
      <c r="L68" s="462"/>
      <c r="M68" s="196" t="s">
        <v>282</v>
      </c>
      <c r="N68" s="197">
        <v>342</v>
      </c>
      <c r="O68" s="197">
        <v>427</v>
      </c>
      <c r="P68" s="198">
        <v>769</v>
      </c>
      <c r="Q68" s="462"/>
      <c r="R68" s="196" t="s">
        <v>282</v>
      </c>
      <c r="S68" s="197">
        <v>1493</v>
      </c>
      <c r="T68" s="197">
        <v>1697</v>
      </c>
      <c r="U68" s="198">
        <v>3190</v>
      </c>
    </row>
    <row r="69" spans="12:21">
      <c r="L69" s="462"/>
      <c r="M69" s="196" t="s">
        <v>283</v>
      </c>
      <c r="N69" s="197">
        <v>212</v>
      </c>
      <c r="O69" s="197">
        <v>265</v>
      </c>
      <c r="P69" s="198">
        <v>477</v>
      </c>
      <c r="Q69" s="462"/>
      <c r="R69" s="196" t="s">
        <v>283</v>
      </c>
      <c r="S69" s="197">
        <v>861</v>
      </c>
      <c r="T69" s="197">
        <v>1057</v>
      </c>
      <c r="U69" s="198">
        <v>1918</v>
      </c>
    </row>
    <row r="70" spans="12:21">
      <c r="L70" s="462"/>
      <c r="M70" s="196" t="s">
        <v>284</v>
      </c>
      <c r="N70" s="197">
        <v>271</v>
      </c>
      <c r="O70" s="197">
        <v>314</v>
      </c>
      <c r="P70" s="198">
        <v>585</v>
      </c>
      <c r="Q70" s="462"/>
      <c r="R70" s="196" t="s">
        <v>284</v>
      </c>
      <c r="S70" s="197">
        <v>1109</v>
      </c>
      <c r="T70" s="197">
        <v>1126</v>
      </c>
      <c r="U70" s="198">
        <v>2235</v>
      </c>
    </row>
    <row r="71" spans="12:21">
      <c r="L71" s="462"/>
      <c r="M71" s="196" t="s">
        <v>285</v>
      </c>
      <c r="N71" s="197">
        <v>239</v>
      </c>
      <c r="O71" s="197">
        <v>250</v>
      </c>
      <c r="P71" s="198">
        <v>489</v>
      </c>
      <c r="Q71" s="462"/>
      <c r="R71" s="196" t="s">
        <v>285</v>
      </c>
      <c r="S71" s="197">
        <v>849</v>
      </c>
      <c r="T71" s="197">
        <v>984</v>
      </c>
      <c r="U71" s="198">
        <v>1833</v>
      </c>
    </row>
    <row r="72" spans="12:21">
      <c r="L72" s="462"/>
      <c r="M72" s="196" t="s">
        <v>286</v>
      </c>
      <c r="N72" s="197">
        <v>242</v>
      </c>
      <c r="O72" s="197">
        <v>254</v>
      </c>
      <c r="P72" s="198">
        <v>496</v>
      </c>
      <c r="Q72" s="462"/>
      <c r="R72" s="196" t="s">
        <v>286</v>
      </c>
      <c r="S72" s="197">
        <v>869</v>
      </c>
      <c r="T72" s="197">
        <v>976</v>
      </c>
      <c r="U72" s="198">
        <v>1845</v>
      </c>
    </row>
    <row r="73" spans="12:21">
      <c r="L73" s="462"/>
      <c r="M73" s="196" t="s">
        <v>287</v>
      </c>
      <c r="N73" s="197">
        <v>290</v>
      </c>
      <c r="O73" s="197">
        <v>414</v>
      </c>
      <c r="P73" s="198">
        <v>704</v>
      </c>
      <c r="Q73" s="462"/>
      <c r="R73" s="196" t="s">
        <v>287</v>
      </c>
      <c r="S73" s="197">
        <v>1139</v>
      </c>
      <c r="T73" s="197">
        <v>1288</v>
      </c>
      <c r="U73" s="198">
        <v>2427</v>
      </c>
    </row>
    <row r="74" spans="12:21">
      <c r="L74" s="462"/>
      <c r="M74" s="196" t="s">
        <v>288</v>
      </c>
      <c r="N74" s="197">
        <v>182</v>
      </c>
      <c r="O74" s="197">
        <v>187</v>
      </c>
      <c r="P74" s="198">
        <v>369</v>
      </c>
      <c r="Q74" s="462"/>
      <c r="R74" s="196" t="s">
        <v>288</v>
      </c>
      <c r="S74" s="197">
        <v>705</v>
      </c>
      <c r="T74" s="197">
        <v>807</v>
      </c>
      <c r="U74" s="198">
        <v>1512</v>
      </c>
    </row>
    <row r="75" spans="12:21">
      <c r="L75" s="462"/>
      <c r="M75" s="196" t="s">
        <v>289</v>
      </c>
      <c r="N75" s="197">
        <v>202</v>
      </c>
      <c r="O75" s="197">
        <v>189</v>
      </c>
      <c r="P75" s="198">
        <v>391</v>
      </c>
      <c r="Q75" s="462"/>
      <c r="R75" s="196" t="s">
        <v>289</v>
      </c>
      <c r="S75" s="197">
        <v>793</v>
      </c>
      <c r="T75" s="197">
        <v>828</v>
      </c>
      <c r="U75" s="198">
        <v>1621</v>
      </c>
    </row>
    <row r="76" spans="12:21">
      <c r="L76" s="462"/>
      <c r="M76" s="196" t="s">
        <v>290</v>
      </c>
      <c r="N76" s="197">
        <v>173</v>
      </c>
      <c r="O76" s="197">
        <v>202</v>
      </c>
      <c r="P76" s="198">
        <v>375</v>
      </c>
      <c r="Q76" s="462"/>
      <c r="R76" s="196" t="s">
        <v>290</v>
      </c>
      <c r="S76" s="197">
        <v>660</v>
      </c>
      <c r="T76" s="197">
        <v>777</v>
      </c>
      <c r="U76" s="198">
        <v>1437</v>
      </c>
    </row>
    <row r="77" spans="12:21">
      <c r="L77" s="462"/>
      <c r="M77" s="196" t="s">
        <v>291</v>
      </c>
      <c r="N77" s="197">
        <v>186</v>
      </c>
      <c r="O77" s="197">
        <v>287</v>
      </c>
      <c r="P77" s="198">
        <v>473</v>
      </c>
      <c r="Q77" s="462"/>
      <c r="R77" s="196" t="s">
        <v>291</v>
      </c>
      <c r="S77" s="197">
        <v>638</v>
      </c>
      <c r="T77" s="197">
        <v>802</v>
      </c>
      <c r="U77" s="198">
        <v>1440</v>
      </c>
    </row>
    <row r="78" spans="12:21">
      <c r="L78" s="462"/>
      <c r="M78" s="196" t="s">
        <v>292</v>
      </c>
      <c r="N78" s="197">
        <v>136</v>
      </c>
      <c r="O78" s="197">
        <v>201</v>
      </c>
      <c r="P78" s="198">
        <v>337</v>
      </c>
      <c r="Q78" s="462"/>
      <c r="R78" s="196" t="s">
        <v>292</v>
      </c>
      <c r="S78" s="197">
        <v>815</v>
      </c>
      <c r="T78" s="197">
        <v>945</v>
      </c>
      <c r="U78" s="198">
        <v>1760</v>
      </c>
    </row>
    <row r="79" spans="12:21">
      <c r="L79" s="462"/>
      <c r="M79" s="196" t="s">
        <v>293</v>
      </c>
      <c r="N79" s="197">
        <v>85</v>
      </c>
      <c r="O79" s="197">
        <v>126</v>
      </c>
      <c r="P79" s="198">
        <v>211</v>
      </c>
      <c r="Q79" s="462"/>
      <c r="R79" s="196" t="s">
        <v>293</v>
      </c>
      <c r="S79" s="197">
        <v>407</v>
      </c>
      <c r="T79" s="197">
        <v>460</v>
      </c>
      <c r="U79" s="198">
        <v>867</v>
      </c>
    </row>
    <row r="80" spans="12:21">
      <c r="L80" s="462"/>
      <c r="M80" s="196" t="s">
        <v>294</v>
      </c>
      <c r="N80" s="197">
        <v>70</v>
      </c>
      <c r="O80" s="197">
        <v>89</v>
      </c>
      <c r="P80" s="198">
        <v>159</v>
      </c>
      <c r="Q80" s="462"/>
      <c r="R80" s="196" t="s">
        <v>294</v>
      </c>
      <c r="S80" s="197">
        <v>415</v>
      </c>
      <c r="T80" s="197">
        <v>512</v>
      </c>
      <c r="U80" s="198">
        <v>927</v>
      </c>
    </row>
    <row r="81" spans="12:21">
      <c r="L81" s="462"/>
      <c r="M81" s="196" t="s">
        <v>295</v>
      </c>
      <c r="N81" s="197">
        <v>61</v>
      </c>
      <c r="O81" s="197">
        <v>70</v>
      </c>
      <c r="P81" s="198">
        <v>131</v>
      </c>
      <c r="Q81" s="462"/>
      <c r="R81" s="196" t="s">
        <v>295</v>
      </c>
      <c r="S81" s="197">
        <v>316</v>
      </c>
      <c r="T81" s="197">
        <v>354</v>
      </c>
      <c r="U81" s="198">
        <v>670</v>
      </c>
    </row>
    <row r="82" spans="12:21">
      <c r="L82" s="462"/>
      <c r="M82" s="196" t="s">
        <v>296</v>
      </c>
      <c r="N82" s="197">
        <v>52</v>
      </c>
      <c r="O82" s="197">
        <v>73</v>
      </c>
      <c r="P82" s="198">
        <v>125</v>
      </c>
      <c r="Q82" s="462"/>
      <c r="R82" s="196" t="s">
        <v>296</v>
      </c>
      <c r="S82" s="197">
        <v>316</v>
      </c>
      <c r="T82" s="197">
        <v>431</v>
      </c>
      <c r="U82" s="198">
        <v>747</v>
      </c>
    </row>
    <row r="83" spans="12:21">
      <c r="L83" s="462"/>
      <c r="M83" s="196" t="s">
        <v>297</v>
      </c>
      <c r="N83" s="197">
        <v>81</v>
      </c>
      <c r="O83" s="197">
        <v>113</v>
      </c>
      <c r="P83" s="198">
        <v>194</v>
      </c>
      <c r="Q83" s="462"/>
      <c r="R83" s="196" t="s">
        <v>297</v>
      </c>
      <c r="S83" s="197">
        <v>448</v>
      </c>
      <c r="T83" s="197">
        <v>563</v>
      </c>
      <c r="U83" s="198">
        <v>1011</v>
      </c>
    </row>
    <row r="84" spans="12:21">
      <c r="L84" s="462"/>
      <c r="M84" s="196" t="s">
        <v>298</v>
      </c>
      <c r="N84" s="197">
        <v>42</v>
      </c>
      <c r="O84" s="197">
        <v>45</v>
      </c>
      <c r="P84" s="198">
        <v>87</v>
      </c>
      <c r="Q84" s="462"/>
      <c r="R84" s="196" t="s">
        <v>298</v>
      </c>
      <c r="S84" s="197">
        <v>225</v>
      </c>
      <c r="T84" s="197">
        <v>238</v>
      </c>
      <c r="U84" s="198">
        <v>463</v>
      </c>
    </row>
    <row r="85" spans="12:21">
      <c r="L85" s="462"/>
      <c r="M85" s="196" t="s">
        <v>299</v>
      </c>
      <c r="N85" s="197">
        <v>33</v>
      </c>
      <c r="O85" s="197">
        <v>56</v>
      </c>
      <c r="P85" s="198">
        <v>89</v>
      </c>
      <c r="Q85" s="462"/>
      <c r="R85" s="196" t="s">
        <v>299</v>
      </c>
      <c r="S85" s="197">
        <v>184</v>
      </c>
      <c r="T85" s="197">
        <v>290</v>
      </c>
      <c r="U85" s="198">
        <v>474</v>
      </c>
    </row>
    <row r="86" spans="12:21">
      <c r="L86" s="462"/>
      <c r="M86" s="196" t="s">
        <v>300</v>
      </c>
      <c r="N86" s="197">
        <v>24</v>
      </c>
      <c r="O86" s="197">
        <v>55</v>
      </c>
      <c r="P86" s="198">
        <v>79</v>
      </c>
      <c r="Q86" s="462"/>
      <c r="R86" s="196" t="s">
        <v>300</v>
      </c>
      <c r="S86" s="197">
        <v>159</v>
      </c>
      <c r="T86" s="197">
        <v>260</v>
      </c>
      <c r="U86" s="198">
        <v>419</v>
      </c>
    </row>
    <row r="87" spans="12:21">
      <c r="L87" s="462"/>
      <c r="M87" s="196" t="s">
        <v>301</v>
      </c>
      <c r="N87" s="197">
        <v>35</v>
      </c>
      <c r="O87" s="197">
        <v>41</v>
      </c>
      <c r="P87" s="198">
        <v>76</v>
      </c>
      <c r="Q87" s="462"/>
      <c r="R87" s="196" t="s">
        <v>301</v>
      </c>
      <c r="S87" s="197">
        <v>174</v>
      </c>
      <c r="T87" s="197">
        <v>252</v>
      </c>
      <c r="U87" s="198">
        <v>426</v>
      </c>
    </row>
    <row r="88" spans="12:21">
      <c r="L88" s="462"/>
      <c r="M88" s="196" t="s">
        <v>302</v>
      </c>
      <c r="N88" s="197">
        <v>55</v>
      </c>
      <c r="O88" s="197">
        <v>64</v>
      </c>
      <c r="P88" s="198">
        <v>119</v>
      </c>
      <c r="Q88" s="462"/>
      <c r="R88" s="196" t="s">
        <v>302</v>
      </c>
      <c r="S88" s="197">
        <v>307</v>
      </c>
      <c r="T88" s="197">
        <v>399</v>
      </c>
      <c r="U88" s="198">
        <v>706</v>
      </c>
    </row>
    <row r="89" spans="12:21">
      <c r="L89" s="462"/>
      <c r="M89" s="196" t="s">
        <v>303</v>
      </c>
      <c r="N89" s="197">
        <v>19</v>
      </c>
      <c r="O89" s="197">
        <v>24</v>
      </c>
      <c r="P89" s="198">
        <v>43</v>
      </c>
      <c r="Q89" s="462"/>
      <c r="R89" s="196" t="s">
        <v>303</v>
      </c>
      <c r="S89" s="197">
        <v>134</v>
      </c>
      <c r="T89" s="197">
        <v>148</v>
      </c>
      <c r="U89" s="198">
        <v>282</v>
      </c>
    </row>
    <row r="90" spans="12:21">
      <c r="L90" s="462"/>
      <c r="M90" s="196" t="s">
        <v>304</v>
      </c>
      <c r="N90" s="197">
        <v>22</v>
      </c>
      <c r="O90" s="197">
        <v>31</v>
      </c>
      <c r="P90" s="198">
        <v>53</v>
      </c>
      <c r="Q90" s="462"/>
      <c r="R90" s="196" t="s">
        <v>304</v>
      </c>
      <c r="S90" s="197">
        <v>107</v>
      </c>
      <c r="T90" s="197">
        <v>163</v>
      </c>
      <c r="U90" s="198">
        <v>270</v>
      </c>
    </row>
    <row r="91" spans="12:21">
      <c r="L91" s="462"/>
      <c r="M91" s="196" t="s">
        <v>305</v>
      </c>
      <c r="N91" s="197">
        <v>8</v>
      </c>
      <c r="O91" s="197">
        <v>34</v>
      </c>
      <c r="P91" s="198">
        <v>42</v>
      </c>
      <c r="Q91" s="462"/>
      <c r="R91" s="196" t="s">
        <v>305</v>
      </c>
      <c r="S91" s="197">
        <v>77</v>
      </c>
      <c r="T91" s="197">
        <v>124</v>
      </c>
      <c r="U91" s="198">
        <v>201</v>
      </c>
    </row>
    <row r="92" spans="12:21">
      <c r="L92" s="462"/>
      <c r="M92" s="196" t="s">
        <v>306</v>
      </c>
      <c r="N92" s="197">
        <v>11</v>
      </c>
      <c r="O92" s="197">
        <v>32</v>
      </c>
      <c r="P92" s="198">
        <v>43</v>
      </c>
      <c r="Q92" s="462"/>
      <c r="R92" s="196" t="s">
        <v>306</v>
      </c>
      <c r="S92" s="197">
        <v>68</v>
      </c>
      <c r="T92" s="197">
        <v>103</v>
      </c>
      <c r="U92" s="198">
        <v>171</v>
      </c>
    </row>
    <row r="93" spans="12:21">
      <c r="L93" s="462"/>
      <c r="M93" s="196" t="s">
        <v>307</v>
      </c>
      <c r="N93" s="197">
        <v>12</v>
      </c>
      <c r="O93" s="197">
        <v>23</v>
      </c>
      <c r="P93" s="198">
        <v>35</v>
      </c>
      <c r="Q93" s="462"/>
      <c r="R93" s="196" t="s">
        <v>307</v>
      </c>
      <c r="S93" s="197">
        <v>87</v>
      </c>
      <c r="T93" s="197">
        <v>149</v>
      </c>
      <c r="U93" s="198">
        <v>236</v>
      </c>
    </row>
    <row r="94" spans="12:21">
      <c r="L94" s="462"/>
      <c r="M94" s="196" t="s">
        <v>308</v>
      </c>
      <c r="N94" s="197">
        <v>18</v>
      </c>
      <c r="O94" s="197">
        <v>9</v>
      </c>
      <c r="P94" s="198">
        <v>27</v>
      </c>
      <c r="Q94" s="462"/>
      <c r="R94" s="196" t="s">
        <v>308</v>
      </c>
      <c r="S94" s="197">
        <v>80</v>
      </c>
      <c r="T94" s="197">
        <v>70</v>
      </c>
      <c r="U94" s="198">
        <v>150</v>
      </c>
    </row>
    <row r="95" spans="12:21">
      <c r="L95" s="462"/>
      <c r="M95" s="196" t="s">
        <v>309</v>
      </c>
      <c r="N95" s="197">
        <v>10</v>
      </c>
      <c r="O95" s="197">
        <v>22</v>
      </c>
      <c r="P95" s="198">
        <v>32</v>
      </c>
      <c r="Q95" s="462"/>
      <c r="R95" s="196" t="s">
        <v>309</v>
      </c>
      <c r="S95" s="197">
        <v>44</v>
      </c>
      <c r="T95" s="197">
        <v>56</v>
      </c>
      <c r="U95" s="198">
        <v>100</v>
      </c>
    </row>
    <row r="96" spans="12:21">
      <c r="L96" s="462"/>
      <c r="M96" s="196" t="s">
        <v>310</v>
      </c>
      <c r="N96" s="197">
        <v>14</v>
      </c>
      <c r="O96" s="197">
        <v>22</v>
      </c>
      <c r="P96" s="198">
        <v>36</v>
      </c>
      <c r="Q96" s="462"/>
      <c r="R96" s="196" t="s">
        <v>310</v>
      </c>
      <c r="S96" s="197">
        <v>48</v>
      </c>
      <c r="T96" s="197">
        <v>54</v>
      </c>
      <c r="U96" s="198">
        <v>102</v>
      </c>
    </row>
    <row r="97" spans="12:21">
      <c r="L97" s="462"/>
      <c r="M97" s="196" t="s">
        <v>311</v>
      </c>
      <c r="N97" s="197">
        <v>10</v>
      </c>
      <c r="O97" s="197">
        <v>13</v>
      </c>
      <c r="P97" s="198">
        <v>23</v>
      </c>
      <c r="Q97" s="462"/>
      <c r="R97" s="196" t="s">
        <v>311</v>
      </c>
      <c r="S97" s="197">
        <v>34</v>
      </c>
      <c r="T97" s="197">
        <v>38</v>
      </c>
      <c r="U97" s="198">
        <v>72</v>
      </c>
    </row>
    <row r="98" spans="12:21">
      <c r="L98" s="462"/>
      <c r="M98" s="196" t="s">
        <v>312</v>
      </c>
      <c r="N98" s="197">
        <v>7</v>
      </c>
      <c r="O98" s="197">
        <v>10</v>
      </c>
      <c r="P98" s="198">
        <v>17</v>
      </c>
      <c r="Q98" s="462"/>
      <c r="R98" s="196" t="s">
        <v>312</v>
      </c>
      <c r="S98" s="197">
        <v>44</v>
      </c>
      <c r="T98" s="197">
        <v>81</v>
      </c>
      <c r="U98" s="198">
        <v>125</v>
      </c>
    </row>
    <row r="99" spans="12:21">
      <c r="L99" s="462"/>
      <c r="M99" s="196" t="s">
        <v>313</v>
      </c>
      <c r="N99" s="197">
        <v>6</v>
      </c>
      <c r="O99" s="197">
        <v>2</v>
      </c>
      <c r="P99" s="198">
        <v>8</v>
      </c>
      <c r="Q99" s="462"/>
      <c r="R99" s="196" t="s">
        <v>313</v>
      </c>
      <c r="S99" s="197">
        <v>22</v>
      </c>
      <c r="T99" s="197">
        <v>22</v>
      </c>
      <c r="U99" s="198">
        <v>44</v>
      </c>
    </row>
    <row r="100" spans="12:21">
      <c r="L100" s="462"/>
      <c r="M100" s="196" t="s">
        <v>314</v>
      </c>
      <c r="N100" s="197">
        <v>1</v>
      </c>
      <c r="O100" s="197">
        <v>6</v>
      </c>
      <c r="P100" s="198">
        <v>7</v>
      </c>
      <c r="Q100" s="462"/>
      <c r="R100" s="196" t="s">
        <v>314</v>
      </c>
      <c r="S100" s="197">
        <v>12</v>
      </c>
      <c r="T100" s="197">
        <v>29</v>
      </c>
      <c r="U100" s="198">
        <v>41</v>
      </c>
    </row>
    <row r="101" spans="12:21">
      <c r="L101" s="462"/>
      <c r="M101" s="196" t="s">
        <v>315</v>
      </c>
      <c r="N101" s="197">
        <v>2</v>
      </c>
      <c r="O101" s="197">
        <v>5</v>
      </c>
      <c r="P101" s="198">
        <v>7</v>
      </c>
      <c r="Q101" s="462"/>
      <c r="R101" s="196" t="s">
        <v>315</v>
      </c>
      <c r="S101" s="197">
        <v>12</v>
      </c>
      <c r="T101" s="197">
        <v>22</v>
      </c>
      <c r="U101" s="198">
        <v>34</v>
      </c>
    </row>
    <row r="102" spans="12:21">
      <c r="L102" s="462"/>
      <c r="M102" s="196" t="s">
        <v>316</v>
      </c>
      <c r="N102" s="197">
        <v>6</v>
      </c>
      <c r="O102" s="197">
        <v>3</v>
      </c>
      <c r="P102" s="198">
        <v>9</v>
      </c>
      <c r="Q102" s="462"/>
      <c r="R102" s="196" t="s">
        <v>316</v>
      </c>
      <c r="S102" s="197">
        <v>13</v>
      </c>
      <c r="T102" s="197">
        <v>14</v>
      </c>
      <c r="U102" s="198">
        <v>27</v>
      </c>
    </row>
    <row r="103" spans="12:21">
      <c r="L103" s="462"/>
      <c r="M103" s="196" t="s">
        <v>317</v>
      </c>
      <c r="N103" s="197">
        <v>2</v>
      </c>
      <c r="O103" s="197">
        <v>5</v>
      </c>
      <c r="P103" s="198">
        <v>7</v>
      </c>
      <c r="Q103" s="462"/>
      <c r="R103" s="196" t="s">
        <v>317</v>
      </c>
      <c r="S103" s="197">
        <v>10</v>
      </c>
      <c r="T103" s="197">
        <v>28</v>
      </c>
      <c r="U103" s="198">
        <v>38</v>
      </c>
    </row>
    <row r="104" spans="12:21">
      <c r="L104" s="462"/>
      <c r="M104" s="196" t="s">
        <v>318</v>
      </c>
      <c r="N104" s="197">
        <v>1</v>
      </c>
      <c r="O104" s="197">
        <v>3</v>
      </c>
      <c r="P104" s="198">
        <v>4</v>
      </c>
      <c r="Q104" s="462"/>
      <c r="R104" s="196" t="s">
        <v>318</v>
      </c>
      <c r="S104" s="197">
        <v>1</v>
      </c>
      <c r="T104" s="197">
        <v>8</v>
      </c>
      <c r="U104" s="198">
        <v>9</v>
      </c>
    </row>
    <row r="105" spans="12:21">
      <c r="L105" s="462"/>
      <c r="M105" s="196" t="s">
        <v>319</v>
      </c>
      <c r="N105" s="197">
        <v>1</v>
      </c>
      <c r="O105" s="199" t="s">
        <v>199</v>
      </c>
      <c r="P105" s="198">
        <v>1</v>
      </c>
      <c r="Q105" s="462"/>
      <c r="R105" s="196" t="s">
        <v>319</v>
      </c>
      <c r="S105" s="197">
        <v>4</v>
      </c>
      <c r="T105" s="197">
        <v>15</v>
      </c>
      <c r="U105" s="198">
        <v>19</v>
      </c>
    </row>
    <row r="106" spans="12:21">
      <c r="L106" s="462"/>
      <c r="M106" s="196" t="s">
        <v>320</v>
      </c>
      <c r="N106" s="199" t="s">
        <v>199</v>
      </c>
      <c r="O106" s="197">
        <v>1</v>
      </c>
      <c r="P106" s="198">
        <v>1</v>
      </c>
      <c r="Q106" s="462"/>
      <c r="R106" s="196" t="s">
        <v>320</v>
      </c>
      <c r="S106" s="197">
        <v>3</v>
      </c>
      <c r="T106" s="197">
        <v>3</v>
      </c>
      <c r="U106" s="198">
        <v>6</v>
      </c>
    </row>
    <row r="107" spans="12:21">
      <c r="L107" s="462"/>
      <c r="M107" s="196" t="s">
        <v>321</v>
      </c>
      <c r="N107" s="197">
        <v>1</v>
      </c>
      <c r="O107" s="197">
        <v>1</v>
      </c>
      <c r="P107" s="198">
        <v>2</v>
      </c>
      <c r="Q107" s="462"/>
      <c r="R107" s="196" t="s">
        <v>321</v>
      </c>
      <c r="S107" s="197">
        <v>3</v>
      </c>
      <c r="T107" s="197">
        <v>3</v>
      </c>
      <c r="U107" s="198">
        <v>6</v>
      </c>
    </row>
    <row r="108" spans="12:21">
      <c r="L108" s="462"/>
      <c r="M108" s="196" t="s">
        <v>322</v>
      </c>
      <c r="N108" s="199" t="s">
        <v>199</v>
      </c>
      <c r="O108" s="197">
        <v>2</v>
      </c>
      <c r="P108" s="198">
        <v>2</v>
      </c>
      <c r="Q108" s="462"/>
      <c r="R108" s="196" t="s">
        <v>322</v>
      </c>
      <c r="S108" s="197">
        <v>17</v>
      </c>
      <c r="T108" s="197">
        <v>23</v>
      </c>
      <c r="U108" s="198">
        <v>40</v>
      </c>
    </row>
    <row r="109" spans="12:21">
      <c r="L109" s="462"/>
      <c r="M109" s="196" t="s">
        <v>323</v>
      </c>
      <c r="N109" s="197">
        <v>1</v>
      </c>
      <c r="O109" s="197">
        <v>1</v>
      </c>
      <c r="P109" s="198">
        <v>2</v>
      </c>
      <c r="Q109" s="462"/>
      <c r="R109" s="196" t="s">
        <v>324</v>
      </c>
      <c r="S109" s="197">
        <v>2</v>
      </c>
      <c r="T109" s="197">
        <v>2</v>
      </c>
      <c r="U109" s="198">
        <v>4</v>
      </c>
    </row>
    <row r="110" spans="12:21">
      <c r="L110" s="462"/>
      <c r="M110" s="196" t="s">
        <v>325</v>
      </c>
      <c r="N110" s="199" t="s">
        <v>199</v>
      </c>
      <c r="O110" s="197">
        <v>1</v>
      </c>
      <c r="P110" s="198">
        <v>1</v>
      </c>
      <c r="Q110" s="462"/>
      <c r="R110" s="196" t="s">
        <v>326</v>
      </c>
      <c r="S110" s="199" t="s">
        <v>199</v>
      </c>
      <c r="T110" s="197">
        <v>1</v>
      </c>
      <c r="U110" s="198">
        <v>1</v>
      </c>
    </row>
    <row r="111" spans="12:21" ht="15" thickBot="1">
      <c r="L111" s="462"/>
      <c r="M111" s="200" t="s">
        <v>327</v>
      </c>
      <c r="N111" s="201">
        <v>1</v>
      </c>
      <c r="O111" s="201">
        <v>7</v>
      </c>
      <c r="P111" s="202">
        <v>8</v>
      </c>
      <c r="Q111" s="462"/>
      <c r="R111" s="196" t="s">
        <v>323</v>
      </c>
      <c r="S111" s="197">
        <v>3</v>
      </c>
      <c r="T111" s="197">
        <v>2</v>
      </c>
      <c r="U111" s="198">
        <v>5</v>
      </c>
    </row>
    <row r="112" spans="12:21" ht="15" thickBot="1">
      <c r="L112" s="462"/>
      <c r="M112" s="190" t="s">
        <v>237</v>
      </c>
      <c r="N112" s="260">
        <v>82648</v>
      </c>
      <c r="O112" s="260">
        <v>86658</v>
      </c>
      <c r="P112" s="261">
        <v>169306</v>
      </c>
      <c r="Q112" s="462"/>
      <c r="R112" s="196" t="s">
        <v>328</v>
      </c>
      <c r="S112" s="197">
        <v>1</v>
      </c>
      <c r="T112" s="197">
        <v>1</v>
      </c>
      <c r="U112" s="198">
        <v>2</v>
      </c>
    </row>
    <row r="113" spans="13:21">
      <c r="M113" s="330" t="s">
        <v>91</v>
      </c>
      <c r="N113" s="330"/>
      <c r="O113" s="330"/>
      <c r="P113" s="330"/>
      <c r="Q113" s="462"/>
      <c r="R113" s="196" t="s">
        <v>325</v>
      </c>
      <c r="S113" s="199" t="s">
        <v>199</v>
      </c>
      <c r="T113" s="197">
        <v>1</v>
      </c>
      <c r="U113" s="198">
        <v>1</v>
      </c>
    </row>
    <row r="114" spans="13:21">
      <c r="Q114" s="462"/>
      <c r="R114" s="196" t="s">
        <v>329</v>
      </c>
      <c r="S114" s="197">
        <v>1</v>
      </c>
      <c r="T114" s="197">
        <v>2</v>
      </c>
      <c r="U114" s="198">
        <v>3</v>
      </c>
    </row>
    <row r="115" spans="13:21">
      <c r="Q115" s="462"/>
      <c r="R115" s="196" t="s">
        <v>330</v>
      </c>
      <c r="S115" s="199" t="s">
        <v>199</v>
      </c>
      <c r="T115" s="197">
        <v>1</v>
      </c>
      <c r="U115" s="198">
        <v>1</v>
      </c>
    </row>
    <row r="116" spans="13:21">
      <c r="Q116" s="462"/>
      <c r="R116" s="196" t="s">
        <v>331</v>
      </c>
      <c r="S116" s="197">
        <v>1</v>
      </c>
      <c r="T116" s="199" t="s">
        <v>199</v>
      </c>
      <c r="U116" s="198">
        <v>1</v>
      </c>
    </row>
    <row r="117" spans="13:21" ht="15" thickBot="1">
      <c r="Q117" s="462"/>
      <c r="R117" s="200" t="s">
        <v>327</v>
      </c>
      <c r="S117" s="201">
        <v>2</v>
      </c>
      <c r="T117" s="201">
        <v>8</v>
      </c>
      <c r="U117" s="202">
        <v>10</v>
      </c>
    </row>
    <row r="118" spans="13:21" ht="15" thickBot="1">
      <c r="Q118" s="462"/>
      <c r="R118" s="190" t="s">
        <v>237</v>
      </c>
      <c r="S118" s="260">
        <v>323504</v>
      </c>
      <c r="T118" s="260">
        <v>330950</v>
      </c>
      <c r="U118" s="261">
        <v>654454</v>
      </c>
    </row>
  </sheetData>
  <mergeCells count="19">
    <mergeCell ref="W10:X10"/>
    <mergeCell ref="W11:X11"/>
    <mergeCell ref="W13:X13"/>
    <mergeCell ref="W14:X14"/>
    <mergeCell ref="M113:P113"/>
    <mergeCell ref="A1:A24"/>
    <mergeCell ref="F1:F24"/>
    <mergeCell ref="L1:L112"/>
    <mergeCell ref="M1:M2"/>
    <mergeCell ref="Q1:Q118"/>
    <mergeCell ref="N1:P1"/>
    <mergeCell ref="W8:X8"/>
    <mergeCell ref="R1:R2"/>
    <mergeCell ref="AC4:AG5"/>
    <mergeCell ref="Y2:Y3"/>
    <mergeCell ref="W2:X3"/>
    <mergeCell ref="S1:U1"/>
    <mergeCell ref="W5:X5"/>
    <mergeCell ref="W7:X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topLeftCell="C2" zoomScale="68" zoomScaleNormal="77" workbookViewId="0">
      <selection activeCell="K15" sqref="K15"/>
    </sheetView>
  </sheetViews>
  <sheetFormatPr baseColWidth="10" defaultColWidth="8.90625" defaultRowHeight="14.5"/>
  <cols>
    <col min="2" max="2" width="10.453125" customWidth="1"/>
    <col min="3" max="3" width="11.26953125" customWidth="1"/>
    <col min="5" max="5" width="11.1796875" customWidth="1"/>
    <col min="8" max="8" width="10.7265625" customWidth="1"/>
    <col min="9" max="9" width="12.26953125" customWidth="1"/>
    <col min="10" max="10" width="21.08984375"/>
  </cols>
  <sheetData>
    <row r="1" spans="1:18" ht="15" thickBot="1">
      <c r="A1" s="478" t="s">
        <v>90</v>
      </c>
      <c r="B1" s="479"/>
      <c r="C1" s="480"/>
    </row>
    <row r="2" spans="1:18" ht="15" thickBot="1">
      <c r="A2" s="481"/>
      <c r="B2" s="482"/>
      <c r="C2" s="483"/>
      <c r="G2" s="477"/>
      <c r="H2" s="477"/>
      <c r="I2" s="136" t="s">
        <v>92</v>
      </c>
      <c r="J2" s="32">
        <v>10000</v>
      </c>
    </row>
    <row r="3" spans="1:18" ht="15" thickBot="1"/>
    <row r="4" spans="1:18" ht="25.5" customHeight="1" thickBot="1">
      <c r="B4" s="168" t="s">
        <v>358</v>
      </c>
      <c r="C4" s="207" t="s">
        <v>332</v>
      </c>
      <c r="D4" s="435" t="s">
        <v>97</v>
      </c>
      <c r="E4" s="436"/>
      <c r="H4" s="168" t="s">
        <v>358</v>
      </c>
      <c r="I4" s="168" t="s">
        <v>332</v>
      </c>
      <c r="J4" s="166" t="s">
        <v>97</v>
      </c>
      <c r="N4" s="331" t="s">
        <v>354</v>
      </c>
      <c r="O4" s="332"/>
      <c r="P4" s="332"/>
      <c r="Q4" s="332"/>
      <c r="R4" s="333"/>
    </row>
    <row r="5" spans="1:18" ht="14.5" customHeight="1" thickBot="1">
      <c r="A5" s="465" t="s">
        <v>94</v>
      </c>
      <c r="B5" s="296" t="s">
        <v>333</v>
      </c>
      <c r="C5" s="209">
        <v>30</v>
      </c>
      <c r="D5" s="470">
        <f>C5*J2/'DF2005'!P3</f>
        <v>53.314377110360759</v>
      </c>
      <c r="E5" s="471"/>
      <c r="F5" s="29"/>
      <c r="G5" s="474" t="s">
        <v>185</v>
      </c>
      <c r="H5" s="300" t="s">
        <v>333</v>
      </c>
      <c r="I5" s="212">
        <v>91</v>
      </c>
      <c r="J5" s="215">
        <f>I5*J2/'DF2005'!U3</f>
        <v>36.518319354709256</v>
      </c>
      <c r="N5" s="337"/>
      <c r="O5" s="338"/>
      <c r="P5" s="338"/>
      <c r="Q5" s="338"/>
      <c r="R5" s="339"/>
    </row>
    <row r="6" spans="1:18">
      <c r="A6" s="466"/>
      <c r="B6" s="297" t="s">
        <v>334</v>
      </c>
      <c r="C6" s="210">
        <v>59</v>
      </c>
      <c r="D6" s="468">
        <f>$J$2*'DF2005'!E2/SUM('DF2005'!P3:P7)</f>
        <v>23.74245472837022</v>
      </c>
      <c r="E6" s="469"/>
      <c r="G6" s="475"/>
      <c r="H6" s="301" t="s">
        <v>335</v>
      </c>
      <c r="I6" s="212">
        <v>199</v>
      </c>
      <c r="J6" s="216">
        <f>I6*J2/SUM('DF2005'!U3:U7)</f>
        <v>18.175341815159513</v>
      </c>
    </row>
    <row r="7" spans="1:18">
      <c r="A7" s="466"/>
      <c r="B7" s="298" t="s">
        <v>190</v>
      </c>
      <c r="C7" s="210">
        <v>8</v>
      </c>
      <c r="D7" s="468">
        <f>$J$2*'DF2005'!E3/SUM('DF2005'!P8:P12)</f>
        <v>3.9480827123328233</v>
      </c>
      <c r="E7" s="469"/>
      <c r="G7" s="475"/>
      <c r="H7" s="301" t="s">
        <v>190</v>
      </c>
      <c r="I7" s="212">
        <v>29</v>
      </c>
      <c r="J7" s="216">
        <f>I7*J2/SUM('DF2005'!U8:U12)</f>
        <v>3.404595029291257</v>
      </c>
    </row>
    <row r="8" spans="1:18" ht="18" customHeight="1">
      <c r="A8" s="466"/>
      <c r="B8" s="298" t="s">
        <v>192</v>
      </c>
      <c r="C8" s="210">
        <v>12</v>
      </c>
      <c r="D8" s="468">
        <f>J2*C8/SUM('DF2005'!P13:P17)</f>
        <v>6.5111231687466091</v>
      </c>
      <c r="E8" s="469"/>
      <c r="G8" s="475"/>
      <c r="H8" s="301" t="s">
        <v>192</v>
      </c>
      <c r="I8" s="212">
        <v>35</v>
      </c>
      <c r="J8" s="216">
        <f>I8*J2/SUM('DF2005'!U13:U17)</f>
        <v>4.6702160308501126</v>
      </c>
    </row>
    <row r="9" spans="1:18" ht="18.5" customHeight="1">
      <c r="A9" s="466"/>
      <c r="B9" s="298" t="s">
        <v>194</v>
      </c>
      <c r="C9" s="210">
        <v>18</v>
      </c>
      <c r="D9" s="468">
        <f>C9*J2/SUM('DF2005'!P18:P22)</f>
        <v>10.554708572768853</v>
      </c>
      <c r="E9" s="469"/>
      <c r="G9" s="475"/>
      <c r="H9" s="301" t="s">
        <v>194</v>
      </c>
      <c r="I9" s="212">
        <v>54</v>
      </c>
      <c r="J9" s="216">
        <f>I9*J2/SUM('DF2005'!U18:U22)</f>
        <v>8.5815084384832971</v>
      </c>
    </row>
    <row r="10" spans="1:18" ht="17" customHeight="1">
      <c r="A10" s="466"/>
      <c r="B10" s="298" t="s">
        <v>196</v>
      </c>
      <c r="C10" s="210">
        <v>25</v>
      </c>
      <c r="D10" s="468">
        <f>J2*C10/SUM('DF2005'!P23:P27)</f>
        <v>15.344954578934447</v>
      </c>
      <c r="E10" s="469"/>
      <c r="G10" s="475"/>
      <c r="H10" s="301" t="s">
        <v>196</v>
      </c>
      <c r="I10" s="212">
        <v>86</v>
      </c>
      <c r="J10" s="216">
        <f>I10*J2/SUM('DF2005'!U23:U27)</f>
        <v>15.206973989001467</v>
      </c>
    </row>
    <row r="11" spans="1:18" ht="16.5" customHeight="1">
      <c r="A11" s="466"/>
      <c r="B11" s="298" t="s">
        <v>198</v>
      </c>
      <c r="C11" s="210">
        <v>20</v>
      </c>
      <c r="D11" s="468">
        <f>C11*J2/SUM('DF2005'!P28:P32)</f>
        <v>14.496955639315743</v>
      </c>
      <c r="E11" s="469"/>
      <c r="G11" s="475"/>
      <c r="H11" s="301" t="s">
        <v>198</v>
      </c>
      <c r="I11" s="212">
        <v>88</v>
      </c>
      <c r="J11" s="216">
        <f>I11*J2/SUM('DF2005'!U28:U32)</f>
        <v>18.038331454340472</v>
      </c>
    </row>
    <row r="12" spans="1:18" ht="17" customHeight="1">
      <c r="A12" s="466"/>
      <c r="B12" s="298" t="s">
        <v>202</v>
      </c>
      <c r="C12" s="210">
        <v>16</v>
      </c>
      <c r="D12" s="468">
        <f>C12*J2/SUM('DF2005'!P33:P37)</f>
        <v>14.401440144014401</v>
      </c>
      <c r="E12" s="469"/>
      <c r="G12" s="475"/>
      <c r="H12" s="301" t="s">
        <v>202</v>
      </c>
      <c r="I12" s="212">
        <v>71</v>
      </c>
      <c r="J12" s="216">
        <f>I12*J2/SUM('DF2005'!U33:U37)</f>
        <v>17.65466481002586</v>
      </c>
    </row>
    <row r="13" spans="1:18" ht="16.5" customHeight="1">
      <c r="A13" s="466"/>
      <c r="B13" s="298" t="s">
        <v>205</v>
      </c>
      <c r="C13" s="210">
        <v>25</v>
      </c>
      <c r="D13" s="468">
        <f>C13*J2/SUM('DF2005'!P38:P42)</f>
        <v>24.447486798357129</v>
      </c>
      <c r="E13" s="469"/>
      <c r="G13" s="475"/>
      <c r="H13" s="301" t="s">
        <v>205</v>
      </c>
      <c r="I13" s="212">
        <v>88</v>
      </c>
      <c r="J13" s="216">
        <f>I13*J2/SUM('DF2005'!U38:U42)</f>
        <v>23.409858742784177</v>
      </c>
    </row>
    <row r="14" spans="1:18" ht="16.5" customHeight="1">
      <c r="A14" s="466"/>
      <c r="B14" s="298" t="s">
        <v>207</v>
      </c>
      <c r="C14" s="210">
        <v>20</v>
      </c>
      <c r="D14" s="468">
        <f>C14*J2/SUM('DF2005'!P43:P47)</f>
        <v>22.182786157941436</v>
      </c>
      <c r="E14" s="469"/>
      <c r="G14" s="475"/>
      <c r="H14" s="301" t="s">
        <v>207</v>
      </c>
      <c r="I14" s="212">
        <v>70</v>
      </c>
      <c r="J14" s="216">
        <f>I14*J2/SUM('DF2005'!U43:U47)</f>
        <v>21.653056174214303</v>
      </c>
    </row>
    <row r="15" spans="1:18" ht="15" customHeight="1">
      <c r="A15" s="466"/>
      <c r="B15" s="298" t="s">
        <v>210</v>
      </c>
      <c r="C15" s="210">
        <v>13</v>
      </c>
      <c r="D15" s="468">
        <f>C15*J2/SUM('DF2005'!P48:P52)</f>
        <v>17.3079483424311</v>
      </c>
      <c r="E15" s="469"/>
      <c r="G15" s="475"/>
      <c r="H15" s="301" t="s">
        <v>210</v>
      </c>
      <c r="I15" s="212">
        <v>56</v>
      </c>
      <c r="J15" s="216">
        <f>J2*I15/SUM('DF2005'!U48:U52)</f>
        <v>20.45139142502374</v>
      </c>
    </row>
    <row r="16" spans="1:18" ht="20" customHeight="1">
      <c r="A16" s="466"/>
      <c r="B16" s="298" t="s">
        <v>213</v>
      </c>
      <c r="C16" s="210">
        <v>30</v>
      </c>
      <c r="D16" s="468">
        <f>C16*J2/SUM('DF2005'!P53:P57)</f>
        <v>51.87618882932734</v>
      </c>
      <c r="E16" s="469"/>
      <c r="G16" s="475"/>
      <c r="H16" s="301" t="s">
        <v>213</v>
      </c>
      <c r="I16" s="212">
        <v>80</v>
      </c>
      <c r="J16" s="216">
        <f>I16*J2/SUM('DF2005'!U53:U57)</f>
        <v>40.048057669203047</v>
      </c>
    </row>
    <row r="17" spans="1:10" ht="18" customHeight="1">
      <c r="A17" s="466"/>
      <c r="B17" s="298" t="s">
        <v>215</v>
      </c>
      <c r="C17" s="210">
        <v>33</v>
      </c>
      <c r="D17" s="468">
        <f>C17*J2/SUM('DF2005'!P58:P62)</f>
        <v>73.825503355704697</v>
      </c>
      <c r="E17" s="469"/>
      <c r="G17" s="475"/>
      <c r="H17" s="301" t="s">
        <v>215</v>
      </c>
      <c r="I17" s="212">
        <v>87</v>
      </c>
      <c r="J17" s="216">
        <f>I17*J2/SUM('DF2005'!U58:U62)</f>
        <v>51.962013975989969</v>
      </c>
    </row>
    <row r="18" spans="1:10" ht="18.5" customHeight="1">
      <c r="A18" s="466"/>
      <c r="B18" s="298" t="s">
        <v>217</v>
      </c>
      <c r="C18" s="210">
        <v>20</v>
      </c>
      <c r="D18" s="468">
        <f>C18*J2/SUM('DF2005'!P63:P67)</f>
        <v>59.523809523809526</v>
      </c>
      <c r="E18" s="469"/>
      <c r="G18" s="475"/>
      <c r="H18" s="301" t="s">
        <v>217</v>
      </c>
      <c r="I18" s="212">
        <v>68</v>
      </c>
      <c r="J18" s="216">
        <f>I18*J2/SUM('DF2005'!U63:U67)</f>
        <v>54.776864830030611</v>
      </c>
    </row>
    <row r="19" spans="1:10" ht="17" customHeight="1">
      <c r="A19" s="466"/>
      <c r="B19" s="298" t="s">
        <v>219</v>
      </c>
      <c r="C19" s="210">
        <v>31</v>
      </c>
      <c r="D19" s="468">
        <f>C19*J2/SUM('DF2005'!P68:P72)</f>
        <v>110.08522727272727</v>
      </c>
      <c r="E19" s="469"/>
      <c r="G19" s="475"/>
      <c r="H19" s="301" t="s">
        <v>219</v>
      </c>
      <c r="I19" s="212">
        <v>80</v>
      </c>
      <c r="J19" s="216">
        <f>I19*J2/SUM('DF2005'!U68:U72)</f>
        <v>72.588694310861086</v>
      </c>
    </row>
    <row r="20" spans="1:10" ht="13.5" customHeight="1">
      <c r="A20" s="466"/>
      <c r="B20" s="298" t="s">
        <v>221</v>
      </c>
      <c r="C20" s="210">
        <v>23</v>
      </c>
      <c r="D20" s="468">
        <f>C20*J2/SUM('DF2005'!P73:P77)</f>
        <v>99.48096885813149</v>
      </c>
      <c r="E20" s="469"/>
      <c r="G20" s="475"/>
      <c r="H20" s="301" t="s">
        <v>221</v>
      </c>
      <c r="I20" s="212">
        <v>85</v>
      </c>
      <c r="J20" s="216">
        <f>I20*J2/SUM('DF2005'!U73:U77)</f>
        <v>100.74671091620245</v>
      </c>
    </row>
    <row r="21" spans="1:10" ht="16" customHeight="1">
      <c r="A21" s="466"/>
      <c r="B21" s="298" t="s">
        <v>223</v>
      </c>
      <c r="C21" s="210">
        <v>25</v>
      </c>
      <c r="D21" s="468">
        <f>C21*J2/SUM('DF2005'!P78:P82)</f>
        <v>259.60539979231567</v>
      </c>
      <c r="E21" s="469"/>
      <c r="G21" s="475"/>
      <c r="H21" s="301" t="s">
        <v>223</v>
      </c>
      <c r="I21" s="212">
        <v>85</v>
      </c>
      <c r="J21" s="216">
        <f>I21*J2/SUM('DF2005'!U78:U82)</f>
        <v>170.99175216254275</v>
      </c>
    </row>
    <row r="22" spans="1:10" ht="16.5" customHeight="1">
      <c r="A22" s="466"/>
      <c r="B22" s="298" t="s">
        <v>225</v>
      </c>
      <c r="C22" s="210">
        <v>19</v>
      </c>
      <c r="D22" s="468">
        <f>C22*J2/SUM('DF2005'!P83:P87)</f>
        <v>361.90476190476193</v>
      </c>
      <c r="E22" s="469"/>
      <c r="G22" s="475"/>
      <c r="H22" s="301" t="s">
        <v>225</v>
      </c>
      <c r="I22" s="212">
        <v>78</v>
      </c>
      <c r="J22" s="216">
        <f>I22*J2/SUM('DF2005'!U83:U87)</f>
        <v>279.26960257787323</v>
      </c>
    </row>
    <row r="23" spans="1:10" ht="14" customHeight="1">
      <c r="A23" s="466"/>
      <c r="B23" s="298" t="s">
        <v>227</v>
      </c>
      <c r="C23" s="210">
        <v>13</v>
      </c>
      <c r="D23" s="468">
        <f>C23*J2/SUM('DF2005'!P88:P92)</f>
        <v>433.33333333333331</v>
      </c>
      <c r="E23" s="469"/>
      <c r="G23" s="475"/>
      <c r="H23" s="301" t="s">
        <v>227</v>
      </c>
      <c r="I23" s="212">
        <v>74</v>
      </c>
      <c r="J23" s="216">
        <f>I23*J2/SUM('DF2005'!U88:U92)</f>
        <v>453.98773006134968</v>
      </c>
    </row>
    <row r="24" spans="1:10" ht="17" customHeight="1">
      <c r="A24" s="466"/>
      <c r="B24" s="298" t="s">
        <v>229</v>
      </c>
      <c r="C24" s="210">
        <v>15</v>
      </c>
      <c r="D24" s="468">
        <f>C24*J2/SUM('DF2005'!P93:P97)</f>
        <v>980.39215686274508</v>
      </c>
      <c r="E24" s="469"/>
      <c r="G24" s="475"/>
      <c r="H24" s="301" t="s">
        <v>229</v>
      </c>
      <c r="I24" s="212">
        <v>55</v>
      </c>
      <c r="J24" s="216">
        <f>I24*J2/SUM('DF2005'!U93:U97)</f>
        <v>833.33333333333337</v>
      </c>
    </row>
    <row r="25" spans="1:10" ht="17" customHeight="1">
      <c r="A25" s="466"/>
      <c r="B25" s="298" t="s">
        <v>231</v>
      </c>
      <c r="C25" s="210">
        <v>10</v>
      </c>
      <c r="D25" s="468">
        <f>C25*J2/SUM('DF2005'!P98:P102)</f>
        <v>2083.3333333333335</v>
      </c>
      <c r="E25" s="469"/>
      <c r="G25" s="475"/>
      <c r="H25" s="301" t="s">
        <v>231</v>
      </c>
      <c r="I25" s="212">
        <v>33</v>
      </c>
      <c r="J25" s="216">
        <f>I25*J2/SUM('DF2005'!U98:U102)</f>
        <v>1217.7121771217712</v>
      </c>
    </row>
    <row r="26" spans="1:10" ht="18" customHeight="1">
      <c r="A26" s="466"/>
      <c r="B26" s="298" t="s">
        <v>233</v>
      </c>
      <c r="C26" s="210">
        <v>2</v>
      </c>
      <c r="D26" s="468">
        <f>C26*J2/SUM('DF2005'!P103:P107)</f>
        <v>1333.3333333333333</v>
      </c>
      <c r="E26" s="469"/>
      <c r="G26" s="475"/>
      <c r="H26" s="301" t="s">
        <v>233</v>
      </c>
      <c r="I26" s="212">
        <v>4</v>
      </c>
      <c r="J26" s="216">
        <f>I26*J2/SUM('DF2005'!U103:U107)</f>
        <v>512.82051282051282</v>
      </c>
    </row>
    <row r="27" spans="1:10" ht="16" customHeight="1" thickBot="1">
      <c r="A27" s="467"/>
      <c r="B27" s="299" t="s">
        <v>235</v>
      </c>
      <c r="C27" s="211">
        <v>1</v>
      </c>
      <c r="D27" s="472">
        <f>C27*J2/SUM('DF2005'!P110:P111)</f>
        <v>1111.1111111111111</v>
      </c>
      <c r="E27" s="473"/>
      <c r="G27" s="476"/>
      <c r="H27" s="302" t="s">
        <v>235</v>
      </c>
      <c r="I27" s="213">
        <v>2</v>
      </c>
      <c r="J27" s="214">
        <f>I27*J2/SUM('DF2005'!U113:U117)</f>
        <v>1250</v>
      </c>
    </row>
  </sheetData>
  <mergeCells count="29">
    <mergeCell ref="G2:H2"/>
    <mergeCell ref="A1:C2"/>
    <mergeCell ref="G5:G27"/>
    <mergeCell ref="N4:R5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26:E26"/>
    <mergeCell ref="D15:E15"/>
    <mergeCell ref="D14:E14"/>
    <mergeCell ref="D4:E4"/>
    <mergeCell ref="D13:E13"/>
    <mergeCell ref="D12:E12"/>
    <mergeCell ref="D11:E11"/>
    <mergeCell ref="D10:E10"/>
    <mergeCell ref="D9:E9"/>
    <mergeCell ref="A5:A27"/>
    <mergeCell ref="D8:E8"/>
    <mergeCell ref="D7:E7"/>
    <mergeCell ref="D6:E6"/>
    <mergeCell ref="D5:E5"/>
    <mergeCell ref="D27:E27"/>
  </mergeCells>
  <conditionalFormatting sqref="D5:D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X79"/>
  <sheetViews>
    <sheetView tabSelected="1" topLeftCell="A25" zoomScale="74" workbookViewId="0">
      <selection activeCell="Y35" sqref="Y35"/>
    </sheetView>
  </sheetViews>
  <sheetFormatPr baseColWidth="10" defaultColWidth="8.90625" defaultRowHeight="14.5"/>
  <cols>
    <col min="1" max="1" width="6" customWidth="1"/>
    <col min="2" max="2" width="16.36328125" customWidth="1"/>
    <col min="3" max="3" width="13.1796875" customWidth="1"/>
    <col min="4" max="4" width="21.453125" customWidth="1"/>
    <col min="5" max="5" width="12.36328125" customWidth="1"/>
    <col min="6" max="6" width="30" customWidth="1"/>
    <col min="7" max="7" width="20.6328125" customWidth="1"/>
    <col min="8" max="8" width="22.54296875" customWidth="1"/>
    <col min="9" max="9" width="30.1796875" customWidth="1"/>
    <col min="10" max="10" width="28.1796875" customWidth="1"/>
    <col min="11" max="11" width="38.1796875" customWidth="1"/>
  </cols>
  <sheetData>
    <row r="1" spans="2:12" ht="15" thickBot="1"/>
    <row r="2" spans="2:12" ht="36" customHeight="1" thickBot="1">
      <c r="B2" s="148" t="s">
        <v>336</v>
      </c>
      <c r="C2" s="148" t="s">
        <v>337</v>
      </c>
      <c r="D2" s="148" t="s">
        <v>96</v>
      </c>
      <c r="E2" s="148" t="s">
        <v>338</v>
      </c>
      <c r="F2" s="148" t="s">
        <v>339</v>
      </c>
      <c r="G2" s="148" t="s">
        <v>340</v>
      </c>
      <c r="H2" s="148" t="s">
        <v>341</v>
      </c>
      <c r="I2" s="148" t="s">
        <v>342</v>
      </c>
      <c r="K2" s="485" t="s">
        <v>359</v>
      </c>
      <c r="L2" s="486"/>
    </row>
    <row r="3" spans="2:12" ht="15" customHeight="1">
      <c r="B3" s="489" t="s">
        <v>93</v>
      </c>
      <c r="C3" s="239">
        <v>1998</v>
      </c>
      <c r="D3" s="240">
        <v>544002</v>
      </c>
      <c r="E3" s="241">
        <v>382779</v>
      </c>
      <c r="F3" s="241">
        <v>161223</v>
      </c>
      <c r="G3" s="242">
        <f t="shared" ref="G3:I5" si="0">(D4-D3)/D3</f>
        <v>2.5718655446119683E-2</v>
      </c>
      <c r="H3" s="242">
        <f t="shared" si="0"/>
        <v>1.0217383921270497E-2</v>
      </c>
      <c r="I3" s="243">
        <f t="shared" si="0"/>
        <v>6.2522096723172257E-2</v>
      </c>
    </row>
    <row r="4" spans="2:12">
      <c r="B4" s="490"/>
      <c r="C4" s="244">
        <v>1999</v>
      </c>
      <c r="D4" s="245">
        <v>557993</v>
      </c>
      <c r="E4" s="245">
        <v>386690</v>
      </c>
      <c r="F4" s="245">
        <v>171303</v>
      </c>
      <c r="G4" s="246">
        <f t="shared" si="0"/>
        <v>2.5858747331955777E-2</v>
      </c>
      <c r="H4" s="246">
        <f t="shared" si="0"/>
        <v>7.7064315084434559E-4</v>
      </c>
      <c r="I4" s="247">
        <f t="shared" si="0"/>
        <v>8.249125817995015E-2</v>
      </c>
    </row>
    <row r="5" spans="2:12">
      <c r="B5" s="490"/>
      <c r="C5" s="244">
        <v>2000</v>
      </c>
      <c r="D5" s="245">
        <v>572422</v>
      </c>
      <c r="E5" s="245">
        <v>386988</v>
      </c>
      <c r="F5" s="245">
        <v>185434</v>
      </c>
      <c r="G5" s="246">
        <f t="shared" si="0"/>
        <v>2.5909206843901876E-2</v>
      </c>
      <c r="H5" s="246">
        <f t="shared" si="0"/>
        <v>-1.1974531510020982E-2</v>
      </c>
      <c r="I5" s="247">
        <f t="shared" si="0"/>
        <v>0.10496996235857502</v>
      </c>
    </row>
    <row r="6" spans="2:12">
      <c r="B6" s="490"/>
      <c r="C6" s="244">
        <v>2001</v>
      </c>
      <c r="D6" s="245">
        <v>587253</v>
      </c>
      <c r="E6" s="245">
        <v>382354</v>
      </c>
      <c r="F6" s="245">
        <v>204899</v>
      </c>
      <c r="G6" s="246">
        <f t="shared" ref="G6:G25" si="1">(D7-D6)/D6</f>
        <v>2.5421751783302939E-2</v>
      </c>
      <c r="H6" s="246">
        <f t="shared" ref="H6:H25" si="2">(E7-E6)/E6</f>
        <v>-2.6054389387844771E-2</v>
      </c>
      <c r="I6" s="247">
        <f t="shared" ref="I6:I25" si="3">(F7-F6)/F6</f>
        <v>0.12147936300323574</v>
      </c>
    </row>
    <row r="7" spans="2:12">
      <c r="B7" s="490"/>
      <c r="C7" s="244">
        <v>2002</v>
      </c>
      <c r="D7" s="245">
        <v>602182</v>
      </c>
      <c r="E7" s="245">
        <v>372392</v>
      </c>
      <c r="F7" s="245">
        <v>229790</v>
      </c>
      <c r="G7" s="246">
        <f t="shared" si="1"/>
        <v>2.4623784835813758E-2</v>
      </c>
      <c r="H7" s="246">
        <f t="shared" si="2"/>
        <v>-3.6343423059571632E-2</v>
      </c>
      <c r="I7" s="247">
        <f t="shared" si="3"/>
        <v>0.12342573654206014</v>
      </c>
    </row>
    <row r="8" spans="2:12">
      <c r="B8" s="490"/>
      <c r="C8" s="244">
        <v>2003</v>
      </c>
      <c r="D8" s="245">
        <v>617010</v>
      </c>
      <c r="E8" s="245">
        <v>358858</v>
      </c>
      <c r="F8" s="245">
        <v>258152</v>
      </c>
      <c r="G8" s="246">
        <f t="shared" si="1"/>
        <v>2.3797021117972154E-2</v>
      </c>
      <c r="H8" s="246">
        <f t="shared" si="2"/>
        <v>-3.7937011296947543E-2</v>
      </c>
      <c r="I8" s="247">
        <f t="shared" si="3"/>
        <v>0.10961371595029284</v>
      </c>
    </row>
    <row r="9" spans="2:12">
      <c r="B9" s="490"/>
      <c r="C9" s="244">
        <v>2004</v>
      </c>
      <c r="D9" s="245">
        <v>631693</v>
      </c>
      <c r="E9" s="245">
        <v>345244</v>
      </c>
      <c r="F9" s="245">
        <v>286449</v>
      </c>
      <c r="G9" s="246">
        <f t="shared" si="1"/>
        <v>2.2202240645376788E-2</v>
      </c>
      <c r="H9" s="246">
        <f t="shared" si="2"/>
        <v>-3.0995469870584283E-2</v>
      </c>
      <c r="I9" s="247">
        <f t="shared" si="3"/>
        <v>8.6319030612779235E-2</v>
      </c>
    </row>
    <row r="10" spans="2:12">
      <c r="B10" s="490"/>
      <c r="C10" s="244">
        <v>2005</v>
      </c>
      <c r="D10" s="248">
        <v>645718</v>
      </c>
      <c r="E10" s="248">
        <v>334543</v>
      </c>
      <c r="F10" s="248">
        <v>311175</v>
      </c>
      <c r="G10" s="246">
        <f t="shared" si="1"/>
        <v>2.3000752650537852E-2</v>
      </c>
      <c r="H10" s="246">
        <f t="shared" si="2"/>
        <v>-1.6909634934821532E-2</v>
      </c>
      <c r="I10" s="247">
        <f t="shared" si="3"/>
        <v>6.5908250984172898E-2</v>
      </c>
    </row>
    <row r="11" spans="2:12">
      <c r="B11" s="490"/>
      <c r="C11" s="244">
        <v>2006</v>
      </c>
      <c r="D11" s="248">
        <v>660570</v>
      </c>
      <c r="E11" s="248">
        <v>328886</v>
      </c>
      <c r="F11" s="248">
        <v>331684</v>
      </c>
      <c r="G11" s="246">
        <f t="shared" si="1"/>
        <v>2.2810602964106756E-2</v>
      </c>
      <c r="H11" s="246">
        <f t="shared" si="2"/>
        <v>-3.9892242296722877E-3</v>
      </c>
      <c r="I11" s="247">
        <f t="shared" si="3"/>
        <v>4.9384353782515891E-2</v>
      </c>
    </row>
    <row r="12" spans="2:12">
      <c r="B12" s="490"/>
      <c r="C12" s="244">
        <v>2007</v>
      </c>
      <c r="D12" s="248">
        <v>675638</v>
      </c>
      <c r="E12" s="248">
        <v>327574</v>
      </c>
      <c r="F12" s="248">
        <v>348064</v>
      </c>
      <c r="G12" s="246">
        <f t="shared" si="1"/>
        <v>2.287467549190543E-2</v>
      </c>
      <c r="H12" s="246">
        <f t="shared" si="2"/>
        <v>6.139070866430181E-3</v>
      </c>
      <c r="I12" s="247">
        <f t="shared" si="3"/>
        <v>3.8625080444975639E-2</v>
      </c>
    </row>
    <row r="13" spans="2:12">
      <c r="B13" s="490"/>
      <c r="C13" s="244">
        <v>2008</v>
      </c>
      <c r="D13" s="248">
        <v>691093</v>
      </c>
      <c r="E13" s="248">
        <v>329585</v>
      </c>
      <c r="F13" s="248">
        <v>361508</v>
      </c>
      <c r="G13" s="246">
        <f t="shared" si="1"/>
        <v>2.2934684622764229E-2</v>
      </c>
      <c r="H13" s="246">
        <f t="shared" si="2"/>
        <v>1.3055812612831287E-2</v>
      </c>
      <c r="I13" s="247">
        <f t="shared" si="3"/>
        <v>3.1941201854454121E-2</v>
      </c>
    </row>
    <row r="14" spans="2:12">
      <c r="B14" s="490"/>
      <c r="C14" s="244">
        <v>2009</v>
      </c>
      <c r="D14" s="248">
        <v>706943</v>
      </c>
      <c r="E14" s="248">
        <v>333888</v>
      </c>
      <c r="F14" s="248">
        <v>373055</v>
      </c>
      <c r="G14" s="246">
        <f t="shared" si="1"/>
        <v>2.2590222974129454E-2</v>
      </c>
      <c r="H14" s="246">
        <f t="shared" si="2"/>
        <v>1.6882906843013225E-2</v>
      </c>
      <c r="I14" s="247">
        <f t="shared" si="3"/>
        <v>2.7698328664674109E-2</v>
      </c>
    </row>
    <row r="15" spans="2:12">
      <c r="B15" s="490"/>
      <c r="C15" s="244">
        <v>2010</v>
      </c>
      <c r="D15" s="248">
        <v>722913</v>
      </c>
      <c r="E15" s="248">
        <v>339525</v>
      </c>
      <c r="F15" s="248">
        <v>383388</v>
      </c>
      <c r="G15" s="246">
        <f t="shared" si="1"/>
        <v>2.18975174052756E-2</v>
      </c>
      <c r="H15" s="246">
        <f t="shared" si="2"/>
        <v>1.8664310433694133E-2</v>
      </c>
      <c r="I15" s="247">
        <f t="shared" si="3"/>
        <v>2.4760816718311474E-2</v>
      </c>
    </row>
    <row r="16" spans="2:12">
      <c r="B16" s="490"/>
      <c r="C16" s="244">
        <v>2011</v>
      </c>
      <c r="D16" s="248">
        <v>738743</v>
      </c>
      <c r="E16" s="248">
        <v>345862</v>
      </c>
      <c r="F16" s="248">
        <v>392881</v>
      </c>
      <c r="G16" s="246">
        <f t="shared" si="1"/>
        <v>2.1429644680220319E-2</v>
      </c>
      <c r="H16" s="246">
        <f t="shared" si="2"/>
        <v>1.9606085664224459E-2</v>
      </c>
      <c r="I16" s="247">
        <f t="shared" si="3"/>
        <v>2.3034964785774829E-2</v>
      </c>
    </row>
    <row r="17" spans="2:24">
      <c r="B17" s="490"/>
      <c r="C17" s="244">
        <v>2012</v>
      </c>
      <c r="D17" s="248">
        <v>754574</v>
      </c>
      <c r="E17" s="248">
        <v>352643</v>
      </c>
      <c r="F17" s="248">
        <v>401931</v>
      </c>
      <c r="G17" s="246">
        <f t="shared" si="1"/>
        <v>2.1259677645930022E-2</v>
      </c>
      <c r="H17" s="246">
        <f t="shared" si="2"/>
        <v>2.0247105429570415E-2</v>
      </c>
      <c r="I17" s="247">
        <f t="shared" si="3"/>
        <v>2.214808014310914E-2</v>
      </c>
    </row>
    <row r="18" spans="2:24">
      <c r="B18" s="490"/>
      <c r="C18" s="244">
        <v>2013</v>
      </c>
      <c r="D18" s="248">
        <v>770616</v>
      </c>
      <c r="E18" s="248">
        <v>359783</v>
      </c>
      <c r="F18" s="248">
        <v>410833</v>
      </c>
      <c r="G18" s="246">
        <f t="shared" si="1"/>
        <v>2.076520601700458E-2</v>
      </c>
      <c r="H18" s="246">
        <f t="shared" si="2"/>
        <v>2.0217742361367825E-2</v>
      </c>
      <c r="I18" s="247">
        <f t="shared" si="3"/>
        <v>2.1244641983482339E-2</v>
      </c>
    </row>
    <row r="19" spans="2:24">
      <c r="B19" s="490"/>
      <c r="C19" s="244">
        <v>2014</v>
      </c>
      <c r="D19" s="248">
        <v>786618</v>
      </c>
      <c r="E19" s="248">
        <v>367057</v>
      </c>
      <c r="F19" s="248">
        <v>419561</v>
      </c>
      <c r="G19" s="246">
        <f t="shared" si="1"/>
        <v>2.094282103892868E-2</v>
      </c>
      <c r="H19" s="246">
        <f t="shared" si="2"/>
        <v>2.0623499892387286E-2</v>
      </c>
      <c r="I19" s="247">
        <f t="shared" si="3"/>
        <v>2.1222182233334365E-2</v>
      </c>
    </row>
    <row r="20" spans="2:24">
      <c r="B20" s="490"/>
      <c r="C20" s="244">
        <v>2015</v>
      </c>
      <c r="D20" s="248">
        <v>803092</v>
      </c>
      <c r="E20" s="248">
        <v>374627</v>
      </c>
      <c r="F20" s="248">
        <v>428465</v>
      </c>
      <c r="G20" s="246">
        <f t="shared" si="1"/>
        <v>2.441563357622788E-2</v>
      </c>
      <c r="H20" s="246">
        <f t="shared" si="2"/>
        <v>2.4248118795495252E-2</v>
      </c>
      <c r="I20" s="247">
        <f t="shared" si="3"/>
        <v>2.4562099588064368E-2</v>
      </c>
    </row>
    <row r="21" spans="2:24">
      <c r="B21" s="490"/>
      <c r="C21" s="244">
        <v>2016</v>
      </c>
      <c r="D21" s="248">
        <v>822700</v>
      </c>
      <c r="E21" s="248">
        <v>383711</v>
      </c>
      <c r="F21" s="248">
        <v>438989</v>
      </c>
      <c r="G21" s="246">
        <f t="shared" si="1"/>
        <v>2.8335966938130546E-2</v>
      </c>
      <c r="H21" s="246">
        <f t="shared" si="2"/>
        <v>2.8234791288235157E-2</v>
      </c>
      <c r="I21" s="247">
        <f t="shared" si="3"/>
        <v>2.8424402433773966E-2</v>
      </c>
    </row>
    <row r="22" spans="2:24">
      <c r="B22" s="490"/>
      <c r="C22" s="244">
        <v>2017</v>
      </c>
      <c r="D22" s="248">
        <v>846012</v>
      </c>
      <c r="E22" s="248">
        <v>394545</v>
      </c>
      <c r="F22" s="248">
        <v>451467</v>
      </c>
      <c r="G22" s="246">
        <f t="shared" si="1"/>
        <v>4.0836300194323487E-2</v>
      </c>
      <c r="H22" s="246">
        <f t="shared" si="2"/>
        <v>4.078368753881053E-2</v>
      </c>
      <c r="I22" s="247">
        <f t="shared" si="3"/>
        <v>4.0882279324956201E-2</v>
      </c>
    </row>
    <row r="23" spans="2:24">
      <c r="B23" s="490"/>
      <c r="C23" s="244">
        <v>2018</v>
      </c>
      <c r="D23" s="248">
        <v>880560</v>
      </c>
      <c r="E23" s="248">
        <v>410636</v>
      </c>
      <c r="F23" s="248">
        <v>469924</v>
      </c>
      <c r="G23" s="246">
        <f t="shared" si="1"/>
        <v>5.3313800308894342E-2</v>
      </c>
      <c r="H23" s="246">
        <f t="shared" si="2"/>
        <v>8.4069589612211296E-2</v>
      </c>
      <c r="I23" s="247">
        <f t="shared" si="3"/>
        <v>2.6438317685412962E-2</v>
      </c>
    </row>
    <row r="24" spans="2:24">
      <c r="B24" s="490"/>
      <c r="C24" s="244">
        <v>2019</v>
      </c>
      <c r="D24" s="248">
        <v>927506</v>
      </c>
      <c r="E24" s="248">
        <v>445158</v>
      </c>
      <c r="F24" s="248">
        <v>482348</v>
      </c>
      <c r="G24" s="246">
        <f t="shared" si="1"/>
        <v>3.9418612925415035E-2</v>
      </c>
      <c r="H24" s="246">
        <f t="shared" si="2"/>
        <v>8.1083570327838653E-2</v>
      </c>
      <c r="I24" s="247">
        <f t="shared" si="3"/>
        <v>9.661074576861519E-4</v>
      </c>
    </row>
    <row r="25" spans="2:24">
      <c r="B25" s="490"/>
      <c r="C25" s="244">
        <v>2020</v>
      </c>
      <c r="D25" s="245">
        <v>964067</v>
      </c>
      <c r="E25" s="245">
        <v>481253</v>
      </c>
      <c r="F25" s="245">
        <v>482814</v>
      </c>
      <c r="G25" s="246">
        <f t="shared" si="1"/>
        <v>3.0095418679407137E-2</v>
      </c>
      <c r="H25" s="246">
        <f t="shared" si="2"/>
        <v>3.9644428190577514E-2</v>
      </c>
      <c r="I25" s="247">
        <f t="shared" si="3"/>
        <v>2.0577282348896261E-2</v>
      </c>
    </row>
    <row r="26" spans="2:24" ht="15" thickBot="1">
      <c r="B26" s="491"/>
      <c r="C26" s="249">
        <v>2021</v>
      </c>
      <c r="D26" s="250">
        <v>993081</v>
      </c>
      <c r="E26" s="250">
        <v>500332</v>
      </c>
      <c r="F26" s="250">
        <v>492749</v>
      </c>
      <c r="G26" s="251"/>
      <c r="H26" s="251"/>
      <c r="I26" s="252"/>
    </row>
    <row r="27" spans="2:24">
      <c r="B27" s="13"/>
    </row>
    <row r="28" spans="2:24" ht="15" thickBot="1">
      <c r="B28" s="13"/>
    </row>
    <row r="29" spans="2:24" ht="37" customHeight="1" thickBot="1">
      <c r="B29" s="221" t="s">
        <v>336</v>
      </c>
      <c r="C29" s="221" t="s">
        <v>337</v>
      </c>
      <c r="D29" s="221" t="s">
        <v>343</v>
      </c>
      <c r="E29" s="221" t="s">
        <v>3</v>
      </c>
      <c r="F29" s="221" t="s">
        <v>344</v>
      </c>
      <c r="G29" s="231" t="s">
        <v>337</v>
      </c>
      <c r="H29" s="231" t="s">
        <v>345</v>
      </c>
      <c r="I29" s="232" t="s">
        <v>346</v>
      </c>
      <c r="J29" s="231" t="s">
        <v>347</v>
      </c>
      <c r="K29" s="253" t="s">
        <v>348</v>
      </c>
      <c r="M29" s="330"/>
      <c r="N29" s="330"/>
      <c r="O29" s="520"/>
      <c r="P29" s="485" t="s">
        <v>359</v>
      </c>
      <c r="Q29" s="487"/>
      <c r="R29" s="487"/>
      <c r="S29" s="488"/>
      <c r="T29" s="330"/>
      <c r="U29" s="330"/>
      <c r="V29" s="330"/>
      <c r="W29" s="330"/>
      <c r="X29" s="330"/>
    </row>
    <row r="30" spans="2:24">
      <c r="B30" s="489" t="s">
        <v>93</v>
      </c>
      <c r="C30" s="208">
        <v>1998</v>
      </c>
      <c r="D30" s="222">
        <v>9396</v>
      </c>
      <c r="E30" s="222">
        <v>8126</v>
      </c>
      <c r="F30" s="223">
        <v>678</v>
      </c>
      <c r="G30" s="125">
        <v>1998</v>
      </c>
      <c r="H30" s="224">
        <f>D30-D56</f>
        <v>8228</v>
      </c>
      <c r="I30" s="233">
        <f>(H31-H30)/H30</f>
        <v>4.7642197374817695E-2</v>
      </c>
      <c r="J30" s="237">
        <f>D3-H30</f>
        <v>535774</v>
      </c>
      <c r="K30" s="225">
        <f>(J31-J30)/J30</f>
        <v>2.5381970756326363E-2</v>
      </c>
      <c r="M30" s="330"/>
      <c r="N30" s="330"/>
      <c r="O30" s="330"/>
      <c r="P30" s="330"/>
      <c r="Q30" s="330"/>
      <c r="R30" s="330"/>
      <c r="S30" s="330"/>
      <c r="T30" s="330"/>
      <c r="U30" s="330"/>
      <c r="V30" s="330"/>
      <c r="W30" s="330"/>
      <c r="X30" s="330"/>
    </row>
    <row r="31" spans="2:24">
      <c r="B31" s="490"/>
      <c r="C31" s="15">
        <v>1999</v>
      </c>
      <c r="D31" s="1">
        <v>9900</v>
      </c>
      <c r="E31" s="1">
        <v>8657</v>
      </c>
      <c r="F31" s="219">
        <v>926</v>
      </c>
      <c r="G31" s="1">
        <v>1999</v>
      </c>
      <c r="H31" s="80">
        <f>D31-D57</f>
        <v>8620</v>
      </c>
      <c r="I31" s="234">
        <f>(H32-H31)/H31</f>
        <v>-6.3225058004640372E-2</v>
      </c>
      <c r="J31" s="80">
        <f>D4-H31</f>
        <v>549373</v>
      </c>
      <c r="K31" s="10">
        <f>(J32-J31)/J31</f>
        <v>2.7256526986218835E-2</v>
      </c>
      <c r="M31" s="330"/>
      <c r="N31" s="330"/>
      <c r="O31" s="330"/>
      <c r="P31" s="330"/>
      <c r="Q31" s="330"/>
      <c r="R31" s="330"/>
      <c r="S31" s="330"/>
      <c r="T31" s="330"/>
      <c r="U31" s="330"/>
      <c r="V31" s="330"/>
      <c r="W31" s="330"/>
      <c r="X31" s="330"/>
    </row>
    <row r="32" spans="2:24">
      <c r="B32" s="490"/>
      <c r="C32" s="15">
        <v>2000</v>
      </c>
      <c r="D32" s="1">
        <v>9467</v>
      </c>
      <c r="E32" s="1">
        <v>8831</v>
      </c>
      <c r="F32" s="219">
        <v>634</v>
      </c>
      <c r="G32" s="1">
        <v>2000</v>
      </c>
      <c r="H32" s="80">
        <f>D32-D58</f>
        <v>8075</v>
      </c>
      <c r="I32" s="234">
        <f>(H33-H32)/H32</f>
        <v>5.1145510835913316E-2</v>
      </c>
      <c r="J32" s="80">
        <f>D5-H32</f>
        <v>564347</v>
      </c>
      <c r="K32" s="10">
        <f>(J33-J32)/J32</f>
        <v>2.5548111357019707E-2</v>
      </c>
      <c r="M32" s="330"/>
      <c r="N32" s="330"/>
      <c r="O32" s="330"/>
      <c r="P32" s="330"/>
      <c r="Q32" s="330"/>
      <c r="R32" s="330"/>
      <c r="S32" s="330"/>
      <c r="T32" s="330"/>
      <c r="U32" s="330"/>
      <c r="V32" s="330"/>
      <c r="W32" s="330"/>
      <c r="X32" s="330"/>
    </row>
    <row r="33" spans="2:24">
      <c r="B33" s="490"/>
      <c r="C33" s="15">
        <v>2001</v>
      </c>
      <c r="D33" s="1">
        <v>9925</v>
      </c>
      <c r="E33" s="1">
        <v>8965</v>
      </c>
      <c r="F33" s="219">
        <v>706</v>
      </c>
      <c r="G33" s="1">
        <v>2001</v>
      </c>
      <c r="H33" s="80">
        <f>D33-D59</f>
        <v>8488</v>
      </c>
      <c r="I33" s="234">
        <f t="shared" ref="I33:I52" si="4">(H34-H33)/H33</f>
        <v>3.5461828463713478E-2</v>
      </c>
      <c r="J33" s="236">
        <f t="shared" ref="J33:J53" si="5">D6-H33</f>
        <v>578765</v>
      </c>
      <c r="K33" s="10">
        <f t="shared" ref="K33:K52" si="6">(J34-J33)/J33</f>
        <v>2.5274506924226586E-2</v>
      </c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/>
      <c r="X33" s="330"/>
    </row>
    <row r="34" spans="2:24">
      <c r="B34" s="490"/>
      <c r="C34" s="15">
        <v>2002</v>
      </c>
      <c r="D34" s="1">
        <v>10269</v>
      </c>
      <c r="E34" s="1">
        <v>9380</v>
      </c>
      <c r="F34" s="219">
        <v>764</v>
      </c>
      <c r="G34" s="1">
        <v>2002</v>
      </c>
      <c r="H34" s="80">
        <f t="shared" ref="H34:H53" si="7">D34-D60</f>
        <v>8789</v>
      </c>
      <c r="I34" s="234">
        <f t="shared" si="4"/>
        <v>-7.9645010808965754E-4</v>
      </c>
      <c r="J34" s="80">
        <f t="shared" si="5"/>
        <v>593393</v>
      </c>
      <c r="K34" s="10">
        <f t="shared" si="6"/>
        <v>2.5000294914163126E-2</v>
      </c>
      <c r="M34" s="330"/>
      <c r="N34" s="330"/>
      <c r="O34" s="330"/>
      <c r="P34" s="330"/>
      <c r="Q34" s="330"/>
      <c r="R34" s="330"/>
      <c r="S34" s="330"/>
      <c r="T34" s="330"/>
      <c r="U34" s="330"/>
      <c r="V34" s="330"/>
      <c r="W34" s="330"/>
      <c r="X34" s="330"/>
    </row>
    <row r="35" spans="2:24">
      <c r="B35" s="490"/>
      <c r="C35" s="15">
        <v>2003</v>
      </c>
      <c r="D35" s="1">
        <v>10083</v>
      </c>
      <c r="E35" s="1">
        <v>9322</v>
      </c>
      <c r="F35" s="219">
        <v>711</v>
      </c>
      <c r="G35" s="1">
        <v>2003</v>
      </c>
      <c r="H35" s="80">
        <f t="shared" si="7"/>
        <v>8782</v>
      </c>
      <c r="I35" s="234">
        <f t="shared" si="4"/>
        <v>-1.6852653154179002E-2</v>
      </c>
      <c r="J35" s="80">
        <f t="shared" si="5"/>
        <v>608228</v>
      </c>
      <c r="K35" s="10">
        <f t="shared" si="6"/>
        <v>2.4383948124716389E-2</v>
      </c>
      <c r="M35" s="330"/>
      <c r="N35" s="330"/>
      <c r="O35" s="330"/>
      <c r="P35" s="330"/>
      <c r="Q35" s="330"/>
      <c r="R35" s="330"/>
      <c r="S35" s="330"/>
      <c r="T35" s="330"/>
      <c r="U35" s="330"/>
      <c r="V35" s="330"/>
      <c r="W35" s="330"/>
      <c r="X35" s="330"/>
    </row>
    <row r="36" spans="2:24">
      <c r="B36" s="490"/>
      <c r="C36" s="15">
        <v>2004</v>
      </c>
      <c r="D36" s="1">
        <v>10213</v>
      </c>
      <c r="E36" s="1">
        <v>4932</v>
      </c>
      <c r="F36" s="219">
        <v>487</v>
      </c>
      <c r="G36" s="1">
        <v>2004</v>
      </c>
      <c r="H36" s="80">
        <f t="shared" si="7"/>
        <v>8634</v>
      </c>
      <c r="I36" s="234">
        <f t="shared" si="4"/>
        <v>0.11315728515172574</v>
      </c>
      <c r="J36" s="236">
        <f t="shared" si="5"/>
        <v>623059</v>
      </c>
      <c r="K36" s="10">
        <f t="shared" si="6"/>
        <v>2.0941836968890588E-2</v>
      </c>
      <c r="M36" s="330"/>
      <c r="N36" s="330"/>
      <c r="O36" s="330"/>
      <c r="P36" s="330"/>
      <c r="Q36" s="330"/>
      <c r="R36" s="330"/>
      <c r="S36" s="330"/>
      <c r="T36" s="330"/>
      <c r="U36" s="330"/>
      <c r="V36" s="330"/>
      <c r="W36" s="330"/>
      <c r="X36" s="330"/>
    </row>
    <row r="37" spans="2:24">
      <c r="B37" s="490"/>
      <c r="C37" s="15">
        <v>2005</v>
      </c>
      <c r="D37" s="1">
        <v>11303</v>
      </c>
      <c r="E37" s="1">
        <v>10627</v>
      </c>
      <c r="F37" s="219">
        <v>585</v>
      </c>
      <c r="G37" s="1">
        <v>2005</v>
      </c>
      <c r="H37" s="80">
        <f t="shared" si="7"/>
        <v>9611</v>
      </c>
      <c r="I37" s="234">
        <f t="shared" si="4"/>
        <v>9.1665799604619708E-2</v>
      </c>
      <c r="J37" s="80">
        <f t="shared" si="5"/>
        <v>636107</v>
      </c>
      <c r="K37" s="10">
        <f t="shared" si="6"/>
        <v>2.1963286050931684E-2</v>
      </c>
      <c r="M37" s="330"/>
      <c r="N37" s="330"/>
      <c r="O37" s="330"/>
      <c r="P37" s="330"/>
      <c r="Q37" s="330"/>
      <c r="R37" s="330"/>
      <c r="S37" s="330"/>
      <c r="T37" s="330"/>
      <c r="U37" s="330"/>
      <c r="V37" s="330"/>
      <c r="W37" s="330"/>
      <c r="X37" s="330"/>
    </row>
    <row r="38" spans="2:24">
      <c r="B38" s="490"/>
      <c r="C38" s="15">
        <v>2006</v>
      </c>
      <c r="D38" s="1">
        <v>12080</v>
      </c>
      <c r="E38" s="1">
        <v>11437</v>
      </c>
      <c r="F38" s="219">
        <v>594</v>
      </c>
      <c r="G38" s="1">
        <v>2006</v>
      </c>
      <c r="H38" s="80">
        <f t="shared" si="7"/>
        <v>10492</v>
      </c>
      <c r="I38" s="234">
        <f t="shared" si="4"/>
        <v>-1.067479984750286E-2</v>
      </c>
      <c r="J38" s="80">
        <f t="shared" si="5"/>
        <v>650078</v>
      </c>
      <c r="K38" s="10">
        <f t="shared" si="6"/>
        <v>2.3351044028562726E-2</v>
      </c>
      <c r="M38" s="330"/>
      <c r="N38" s="330"/>
      <c r="O38" s="330"/>
      <c r="P38" s="330"/>
      <c r="Q38" s="330"/>
      <c r="R38" s="330"/>
      <c r="S38" s="330"/>
      <c r="T38" s="330"/>
      <c r="U38" s="330"/>
      <c r="V38" s="330"/>
      <c r="W38" s="330"/>
      <c r="X38" s="330"/>
    </row>
    <row r="39" spans="2:24">
      <c r="B39" s="490"/>
      <c r="C39" s="15">
        <v>2007</v>
      </c>
      <c r="D39" s="1">
        <v>12072</v>
      </c>
      <c r="E39" s="1">
        <v>11425</v>
      </c>
      <c r="F39" s="219">
        <v>599</v>
      </c>
      <c r="G39" s="1">
        <v>2007</v>
      </c>
      <c r="H39" s="80">
        <f t="shared" si="7"/>
        <v>10380</v>
      </c>
      <c r="I39" s="234">
        <f t="shared" si="4"/>
        <v>5.8863198458574184E-2</v>
      </c>
      <c r="J39" s="236">
        <f t="shared" si="5"/>
        <v>665258</v>
      </c>
      <c r="K39" s="10">
        <f t="shared" si="6"/>
        <v>2.2313147681050059E-2</v>
      </c>
      <c r="M39" s="330"/>
      <c r="N39" s="330"/>
      <c r="O39" s="330"/>
      <c r="P39" s="330"/>
      <c r="Q39" s="330"/>
      <c r="R39" s="330"/>
      <c r="S39" s="330"/>
      <c r="T39" s="330"/>
      <c r="U39" s="330"/>
      <c r="V39" s="330"/>
      <c r="W39" s="330"/>
      <c r="X39" s="330"/>
    </row>
    <row r="40" spans="2:24">
      <c r="B40" s="490"/>
      <c r="C40" s="15">
        <v>2008</v>
      </c>
      <c r="D40" s="1">
        <v>12639</v>
      </c>
      <c r="E40" s="1">
        <v>11656</v>
      </c>
      <c r="F40" s="219">
        <v>940</v>
      </c>
      <c r="G40" s="1">
        <v>2008</v>
      </c>
      <c r="H40" s="80">
        <f t="shared" si="7"/>
        <v>10991</v>
      </c>
      <c r="I40" s="234">
        <f t="shared" si="4"/>
        <v>-1.7286871076335183E-2</v>
      </c>
      <c r="J40" s="80">
        <f t="shared" si="5"/>
        <v>680102</v>
      </c>
      <c r="K40" s="10">
        <f t="shared" si="6"/>
        <v>2.3584697589479224E-2</v>
      </c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</row>
    <row r="41" spans="2:24">
      <c r="B41" s="490"/>
      <c r="C41" s="15">
        <v>2009</v>
      </c>
      <c r="D41" s="1">
        <v>12559</v>
      </c>
      <c r="E41" s="1">
        <v>11674</v>
      </c>
      <c r="F41" s="219">
        <v>879</v>
      </c>
      <c r="G41" s="1">
        <v>2009</v>
      </c>
      <c r="H41" s="80">
        <f t="shared" si="7"/>
        <v>10801</v>
      </c>
      <c r="I41" s="234">
        <f t="shared" si="4"/>
        <v>-3.4533839459309323E-2</v>
      </c>
      <c r="J41" s="80">
        <f t="shared" si="5"/>
        <v>696142</v>
      </c>
      <c r="K41" s="10">
        <f t="shared" si="6"/>
        <v>2.3476532086844349E-2</v>
      </c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</row>
    <row r="42" spans="2:24">
      <c r="B42" s="490"/>
      <c r="C42" s="15">
        <v>2010</v>
      </c>
      <c r="D42" s="1">
        <v>12173</v>
      </c>
      <c r="E42" s="1">
        <v>11388</v>
      </c>
      <c r="F42" s="219">
        <v>784</v>
      </c>
      <c r="G42" s="1">
        <v>2010</v>
      </c>
      <c r="H42" s="80">
        <f t="shared" si="7"/>
        <v>10428</v>
      </c>
      <c r="I42" s="234">
        <f t="shared" si="4"/>
        <v>4.3632527809742999E-2</v>
      </c>
      <c r="J42" s="236">
        <f t="shared" si="5"/>
        <v>712485</v>
      </c>
      <c r="K42" s="10">
        <f t="shared" si="6"/>
        <v>2.1579401671614141E-2</v>
      </c>
      <c r="M42" s="330"/>
      <c r="N42" s="330"/>
      <c r="O42" s="330"/>
      <c r="P42" s="330"/>
      <c r="Q42" s="330"/>
      <c r="R42" s="330"/>
      <c r="S42" s="330"/>
      <c r="T42" s="330"/>
      <c r="U42" s="330"/>
      <c r="V42" s="330"/>
      <c r="W42" s="330"/>
      <c r="X42" s="330"/>
    </row>
    <row r="43" spans="2:24">
      <c r="B43" s="490"/>
      <c r="C43" s="15">
        <v>2011</v>
      </c>
      <c r="D43" s="1">
        <v>12586</v>
      </c>
      <c r="E43" s="1">
        <v>11956</v>
      </c>
      <c r="F43" s="219">
        <v>630</v>
      </c>
      <c r="G43" s="1">
        <v>2011</v>
      </c>
      <c r="H43" s="80">
        <f t="shared" si="7"/>
        <v>10883</v>
      </c>
      <c r="I43" s="234">
        <f t="shared" si="4"/>
        <v>7.0936322705136445E-2</v>
      </c>
      <c r="J43" s="80">
        <f t="shared" si="5"/>
        <v>727860</v>
      </c>
      <c r="K43" s="10">
        <f t="shared" si="6"/>
        <v>2.0689418294727008E-2</v>
      </c>
      <c r="M43" s="330"/>
      <c r="N43" s="330"/>
      <c r="O43" s="330"/>
      <c r="P43" s="330"/>
      <c r="Q43" s="330"/>
      <c r="R43" s="330"/>
      <c r="S43" s="330"/>
      <c r="T43" s="330"/>
      <c r="U43" s="330"/>
      <c r="V43" s="330"/>
      <c r="W43" s="330"/>
      <c r="X43" s="330"/>
    </row>
    <row r="44" spans="2:24">
      <c r="B44" s="490"/>
      <c r="C44" s="15">
        <v>2012</v>
      </c>
      <c r="D44" s="1">
        <v>13283</v>
      </c>
      <c r="E44" s="1">
        <v>12591</v>
      </c>
      <c r="F44" s="219">
        <v>692</v>
      </c>
      <c r="G44" s="1">
        <v>2012</v>
      </c>
      <c r="H44" s="80">
        <f t="shared" si="7"/>
        <v>11655</v>
      </c>
      <c r="I44" s="234">
        <f t="shared" si="4"/>
        <v>-7.8936078936078929E-3</v>
      </c>
      <c r="J44" s="80">
        <f t="shared" si="5"/>
        <v>742919</v>
      </c>
      <c r="K44" s="10">
        <f t="shared" si="6"/>
        <v>2.1717037792814559E-2</v>
      </c>
      <c r="M44" s="330"/>
      <c r="N44" s="330"/>
      <c r="O44" s="330"/>
      <c r="P44" s="330"/>
      <c r="Q44" s="330"/>
      <c r="R44" s="330"/>
      <c r="S44" s="330"/>
      <c r="T44" s="330"/>
      <c r="U44" s="330"/>
      <c r="V44" s="330"/>
      <c r="W44" s="330"/>
      <c r="X44" s="330"/>
    </row>
    <row r="45" spans="2:24">
      <c r="B45" s="490"/>
      <c r="C45" s="15">
        <v>2013</v>
      </c>
      <c r="D45" s="1">
        <v>13209</v>
      </c>
      <c r="E45" s="1">
        <v>12517</v>
      </c>
      <c r="F45" s="219">
        <v>692</v>
      </c>
      <c r="G45" s="1">
        <v>2013</v>
      </c>
      <c r="H45" s="80">
        <f t="shared" si="7"/>
        <v>11563</v>
      </c>
      <c r="I45" s="234">
        <f t="shared" si="4"/>
        <v>0.11130329499264896</v>
      </c>
      <c r="J45" s="236">
        <f t="shared" si="5"/>
        <v>759053</v>
      </c>
      <c r="K45" s="10">
        <f t="shared" si="6"/>
        <v>1.938599807918551E-2</v>
      </c>
      <c r="M45" s="330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</row>
    <row r="46" spans="2:24">
      <c r="B46" s="490"/>
      <c r="C46" s="15">
        <v>2014</v>
      </c>
      <c r="D46" s="1">
        <v>14675</v>
      </c>
      <c r="E46" s="1">
        <v>14113</v>
      </c>
      <c r="F46" s="219">
        <v>562</v>
      </c>
      <c r="G46" s="1">
        <v>2014</v>
      </c>
      <c r="H46" s="80">
        <f t="shared" si="7"/>
        <v>12850</v>
      </c>
      <c r="I46" s="234">
        <f t="shared" si="4"/>
        <v>2.8404669260700389E-2</v>
      </c>
      <c r="J46" s="80">
        <f t="shared" si="5"/>
        <v>773768</v>
      </c>
      <c r="K46" s="10">
        <f t="shared" si="6"/>
        <v>2.0818901789683729E-2</v>
      </c>
      <c r="M46" s="330"/>
      <c r="N46" s="330"/>
      <c r="O46" s="330"/>
      <c r="P46" s="330"/>
      <c r="Q46" s="330"/>
      <c r="R46" s="330"/>
      <c r="S46" s="330"/>
      <c r="T46" s="330"/>
      <c r="U46" s="330"/>
      <c r="V46" s="330"/>
      <c r="W46" s="330"/>
      <c r="X46" s="330"/>
    </row>
    <row r="47" spans="2:24">
      <c r="B47" s="490"/>
      <c r="C47" s="15">
        <v>2015</v>
      </c>
      <c r="D47" s="1">
        <v>15135</v>
      </c>
      <c r="E47" s="1">
        <v>14484</v>
      </c>
      <c r="F47" s="219">
        <v>651</v>
      </c>
      <c r="G47" s="1">
        <v>2015</v>
      </c>
      <c r="H47" s="80">
        <f t="shared" si="7"/>
        <v>13215</v>
      </c>
      <c r="I47" s="234">
        <f t="shared" si="4"/>
        <v>4.2073401437760123E-2</v>
      </c>
      <c r="J47" s="80">
        <f t="shared" si="5"/>
        <v>789877</v>
      </c>
      <c r="K47" s="10">
        <f t="shared" si="6"/>
        <v>2.4120211121478406E-2</v>
      </c>
      <c r="M47" s="330"/>
      <c r="N47" s="330"/>
      <c r="O47" s="330"/>
      <c r="P47" s="330"/>
      <c r="Q47" s="330"/>
      <c r="R47" s="330"/>
      <c r="S47" s="330"/>
      <c r="T47" s="330"/>
      <c r="U47" s="330"/>
      <c r="V47" s="330"/>
      <c r="W47" s="330"/>
      <c r="X47" s="330"/>
    </row>
    <row r="48" spans="2:24">
      <c r="B48" s="490"/>
      <c r="C48" s="15">
        <v>2016</v>
      </c>
      <c r="D48" s="1">
        <v>15925</v>
      </c>
      <c r="E48" s="1">
        <v>15157</v>
      </c>
      <c r="F48" s="219">
        <v>768</v>
      </c>
      <c r="G48" s="1">
        <v>2016</v>
      </c>
      <c r="H48" s="80">
        <f t="shared" si="7"/>
        <v>13771</v>
      </c>
      <c r="I48" s="234">
        <f t="shared" si="4"/>
        <v>0.11676711930869219</v>
      </c>
      <c r="J48" s="236">
        <f t="shared" si="5"/>
        <v>808929</v>
      </c>
      <c r="K48" s="10">
        <f t="shared" si="6"/>
        <v>2.6830537661525301E-2</v>
      </c>
      <c r="M48" s="330"/>
      <c r="N48" s="330"/>
      <c r="O48" s="330"/>
      <c r="P48" s="330"/>
      <c r="Q48" s="330"/>
      <c r="R48" s="330"/>
      <c r="S48" s="330"/>
      <c r="T48" s="330"/>
      <c r="U48" s="330"/>
      <c r="V48" s="330"/>
      <c r="W48" s="330"/>
      <c r="X48" s="330"/>
    </row>
    <row r="49" spans="2:24">
      <c r="B49" s="490"/>
      <c r="C49" s="15">
        <v>2017</v>
      </c>
      <c r="D49" s="1">
        <v>17583</v>
      </c>
      <c r="E49" s="1">
        <v>16716</v>
      </c>
      <c r="F49" s="219">
        <v>867</v>
      </c>
      <c r="G49" s="1">
        <v>2017</v>
      </c>
      <c r="H49" s="80">
        <f>D49-D75</f>
        <v>15379</v>
      </c>
      <c r="I49" s="234">
        <f t="shared" si="4"/>
        <v>0.18798361401911698</v>
      </c>
      <c r="J49" s="80">
        <f t="shared" si="5"/>
        <v>830633</v>
      </c>
      <c r="K49" s="10">
        <f t="shared" si="6"/>
        <v>3.8111897793610412E-2</v>
      </c>
      <c r="M49" s="330"/>
      <c r="N49" s="330"/>
      <c r="O49" s="330"/>
      <c r="P49" s="330"/>
      <c r="Q49" s="330"/>
      <c r="R49" s="330"/>
      <c r="S49" s="330"/>
      <c r="T49" s="330"/>
      <c r="U49" s="330"/>
      <c r="V49" s="330"/>
      <c r="W49" s="330"/>
      <c r="X49" s="330"/>
    </row>
    <row r="50" spans="2:24">
      <c r="B50" s="490"/>
      <c r="C50" s="15">
        <v>2018</v>
      </c>
      <c r="D50" s="1">
        <v>21029</v>
      </c>
      <c r="E50" s="1">
        <v>20024</v>
      </c>
      <c r="F50" s="219">
        <v>1005</v>
      </c>
      <c r="G50" s="1">
        <v>2018</v>
      </c>
      <c r="H50" s="80">
        <f t="shared" si="7"/>
        <v>18270</v>
      </c>
      <c r="I50" s="234">
        <f t="shared" si="4"/>
        <v>4.4334975369458129E-2</v>
      </c>
      <c r="J50" s="80">
        <f t="shared" si="5"/>
        <v>862290</v>
      </c>
      <c r="K50" s="10">
        <f t="shared" si="6"/>
        <v>5.3504041563743054E-2</v>
      </c>
      <c r="M50" s="330"/>
      <c r="N50" s="330"/>
      <c r="O50" s="330"/>
      <c r="P50" s="330"/>
      <c r="Q50" s="330"/>
      <c r="R50" s="330"/>
      <c r="S50" s="330"/>
      <c r="T50" s="330"/>
      <c r="U50" s="330"/>
      <c r="V50" s="330"/>
      <c r="W50" s="330"/>
      <c r="X50" s="330"/>
    </row>
    <row r="51" spans="2:24">
      <c r="B51" s="490"/>
      <c r="C51" s="15">
        <v>2019</v>
      </c>
      <c r="D51" s="1">
        <v>22136</v>
      </c>
      <c r="E51" s="1">
        <v>13786</v>
      </c>
      <c r="F51" s="219">
        <v>8350</v>
      </c>
      <c r="G51" s="1">
        <v>2019</v>
      </c>
      <c r="H51" s="80">
        <f t="shared" si="7"/>
        <v>19080</v>
      </c>
      <c r="I51" s="234">
        <f t="shared" si="4"/>
        <v>0.12987421383647799</v>
      </c>
      <c r="J51" s="236">
        <f t="shared" si="5"/>
        <v>908426</v>
      </c>
      <c r="K51" s="10">
        <f t="shared" si="6"/>
        <v>3.7518741207319031E-2</v>
      </c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</row>
    <row r="52" spans="2:24">
      <c r="B52" s="490"/>
      <c r="C52" s="15">
        <v>2020</v>
      </c>
      <c r="D52" s="1">
        <v>25100</v>
      </c>
      <c r="E52" s="1">
        <v>21877</v>
      </c>
      <c r="F52" s="219">
        <v>3221</v>
      </c>
      <c r="G52" s="1">
        <v>2020</v>
      </c>
      <c r="H52" s="80">
        <f t="shared" si="7"/>
        <v>21558</v>
      </c>
      <c r="I52" s="234">
        <f t="shared" si="4"/>
        <v>2.2451062250672605E-2</v>
      </c>
      <c r="J52" s="80">
        <f t="shared" si="5"/>
        <v>942509</v>
      </c>
      <c r="K52" s="10">
        <f t="shared" si="6"/>
        <v>3.0270267976220917E-2</v>
      </c>
    </row>
    <row r="53" spans="2:24" ht="15" thickBot="1">
      <c r="B53" s="491"/>
      <c r="C53" s="16">
        <v>2021</v>
      </c>
      <c r="D53" s="5">
        <v>26355</v>
      </c>
      <c r="E53" s="5">
        <v>23752</v>
      </c>
      <c r="F53" s="220">
        <v>2603</v>
      </c>
      <c r="G53" s="5">
        <v>2021</v>
      </c>
      <c r="H53" s="102">
        <f t="shared" si="7"/>
        <v>22042</v>
      </c>
      <c r="I53" s="235"/>
      <c r="J53" s="102">
        <f t="shared" si="5"/>
        <v>971039</v>
      </c>
      <c r="K53" s="163"/>
    </row>
    <row r="54" spans="2:24" ht="15" thickBot="1"/>
    <row r="55" spans="2:24" ht="30.5" customHeight="1" thickBot="1">
      <c r="B55" s="148" t="s">
        <v>336</v>
      </c>
      <c r="C55" s="148" t="s">
        <v>337</v>
      </c>
      <c r="D55" s="148" t="s">
        <v>95</v>
      </c>
      <c r="E55" s="148" t="s">
        <v>338</v>
      </c>
      <c r="F55" s="148" t="s">
        <v>339</v>
      </c>
      <c r="H55" s="485" t="s">
        <v>359</v>
      </c>
      <c r="I55" s="487"/>
      <c r="J55" s="488"/>
    </row>
    <row r="56" spans="2:24">
      <c r="B56" s="484" t="s">
        <v>93</v>
      </c>
      <c r="C56" s="14">
        <v>1998</v>
      </c>
      <c r="D56" s="228">
        <v>1168</v>
      </c>
      <c r="E56" s="229">
        <v>881</v>
      </c>
      <c r="F56" s="230">
        <v>286</v>
      </c>
    </row>
    <row r="57" spans="2:24">
      <c r="B57" s="484"/>
      <c r="C57" s="15">
        <v>1999</v>
      </c>
      <c r="D57" s="19">
        <v>1280</v>
      </c>
      <c r="E57" s="19">
        <v>919</v>
      </c>
      <c r="F57" s="20">
        <v>305</v>
      </c>
    </row>
    <row r="58" spans="2:24">
      <c r="B58" s="484"/>
      <c r="C58" s="15">
        <v>2000</v>
      </c>
      <c r="D58" s="19">
        <v>1392</v>
      </c>
      <c r="E58" s="19">
        <v>1021</v>
      </c>
      <c r="F58" s="20">
        <v>314</v>
      </c>
    </row>
    <row r="59" spans="2:24">
      <c r="B59" s="484"/>
      <c r="C59" s="15">
        <v>2001</v>
      </c>
      <c r="D59" s="19">
        <v>1437</v>
      </c>
      <c r="E59" s="19">
        <v>1042</v>
      </c>
      <c r="F59" s="21">
        <v>339</v>
      </c>
    </row>
    <row r="60" spans="2:24">
      <c r="B60" s="484"/>
      <c r="C60" s="15">
        <v>2002</v>
      </c>
      <c r="D60" s="22">
        <v>1480</v>
      </c>
      <c r="E60" s="22">
        <v>1095</v>
      </c>
      <c r="F60" s="20">
        <v>299</v>
      </c>
    </row>
    <row r="61" spans="2:24">
      <c r="B61" s="484"/>
      <c r="C61" s="15">
        <v>2003</v>
      </c>
      <c r="D61" s="19">
        <v>1301</v>
      </c>
      <c r="E61" s="19">
        <v>1005</v>
      </c>
      <c r="F61" s="20">
        <v>264</v>
      </c>
    </row>
    <row r="62" spans="2:24">
      <c r="B62" s="484"/>
      <c r="C62" s="15">
        <v>2004</v>
      </c>
      <c r="D62" s="19">
        <v>1579</v>
      </c>
      <c r="E62" s="19">
        <v>1176</v>
      </c>
      <c r="F62" s="20">
        <v>255</v>
      </c>
    </row>
    <row r="63" spans="2:24">
      <c r="B63" s="484"/>
      <c r="C63" s="15">
        <v>2005</v>
      </c>
      <c r="D63" s="23">
        <v>1692</v>
      </c>
      <c r="E63" s="23">
        <v>1250</v>
      </c>
      <c r="F63" s="24">
        <v>383</v>
      </c>
    </row>
    <row r="64" spans="2:24">
      <c r="B64" s="484"/>
      <c r="C64" s="15">
        <v>2006</v>
      </c>
      <c r="D64" s="23">
        <v>1588</v>
      </c>
      <c r="E64" s="23">
        <v>1126</v>
      </c>
      <c r="F64" s="24">
        <v>401</v>
      </c>
    </row>
    <row r="65" spans="2:6">
      <c r="B65" s="484"/>
      <c r="C65" s="15">
        <v>2007</v>
      </c>
      <c r="D65" s="23">
        <v>1692</v>
      </c>
      <c r="E65" s="23">
        <v>1204</v>
      </c>
      <c r="F65" s="24">
        <v>404</v>
      </c>
    </row>
    <row r="66" spans="2:6">
      <c r="B66" s="484"/>
      <c r="C66" s="15">
        <v>2008</v>
      </c>
      <c r="D66" s="23">
        <v>1648</v>
      </c>
      <c r="E66" s="23">
        <v>1149</v>
      </c>
      <c r="F66" s="24">
        <v>406</v>
      </c>
    </row>
    <row r="67" spans="2:6">
      <c r="B67" s="484"/>
      <c r="C67" s="15">
        <v>2009</v>
      </c>
      <c r="D67" s="11">
        <v>1758</v>
      </c>
      <c r="E67" s="25">
        <v>1228</v>
      </c>
      <c r="F67" s="26">
        <v>440</v>
      </c>
    </row>
    <row r="68" spans="2:6">
      <c r="B68" s="484"/>
      <c r="C68" s="15">
        <v>2010</v>
      </c>
      <c r="D68" s="25">
        <v>1745</v>
      </c>
      <c r="E68" s="11">
        <v>1250</v>
      </c>
      <c r="F68" s="26">
        <v>431</v>
      </c>
    </row>
    <row r="69" spans="2:6">
      <c r="B69" s="484"/>
      <c r="C69" s="15">
        <v>2011</v>
      </c>
      <c r="D69" s="11">
        <v>1703</v>
      </c>
      <c r="E69" s="11">
        <v>1287</v>
      </c>
      <c r="F69" s="26">
        <v>413</v>
      </c>
    </row>
    <row r="70" spans="2:6">
      <c r="B70" s="484"/>
      <c r="C70" s="15">
        <v>2012</v>
      </c>
      <c r="D70" s="11">
        <v>1628</v>
      </c>
      <c r="E70" s="11">
        <v>1161</v>
      </c>
      <c r="F70" s="26">
        <v>463</v>
      </c>
    </row>
    <row r="71" spans="2:6">
      <c r="B71" s="484"/>
      <c r="C71" s="15">
        <v>2013</v>
      </c>
      <c r="D71" s="11">
        <v>1646</v>
      </c>
      <c r="E71" s="11">
        <v>1189</v>
      </c>
      <c r="F71" s="26">
        <v>452</v>
      </c>
    </row>
    <row r="72" spans="2:6">
      <c r="B72" s="484"/>
      <c r="C72" s="15">
        <v>2014</v>
      </c>
      <c r="D72" s="11">
        <v>1825</v>
      </c>
      <c r="E72" s="11">
        <v>1346</v>
      </c>
      <c r="F72" s="26">
        <v>479</v>
      </c>
    </row>
    <row r="73" spans="2:6">
      <c r="B73" s="484"/>
      <c r="C73" s="15">
        <v>2015</v>
      </c>
      <c r="D73" s="11">
        <v>1920</v>
      </c>
      <c r="E73" s="11">
        <v>1366</v>
      </c>
      <c r="F73" s="26">
        <v>552</v>
      </c>
    </row>
    <row r="74" spans="2:6">
      <c r="B74" s="484"/>
      <c r="C74" s="15">
        <v>2016</v>
      </c>
      <c r="D74" s="11">
        <v>2154</v>
      </c>
      <c r="E74" s="11">
        <v>1530</v>
      </c>
      <c r="F74" s="26">
        <v>622</v>
      </c>
    </row>
    <row r="75" spans="2:6">
      <c r="B75" s="484"/>
      <c r="C75" s="15">
        <v>2017</v>
      </c>
      <c r="D75" s="11">
        <v>2204</v>
      </c>
      <c r="E75" s="11">
        <v>1646</v>
      </c>
      <c r="F75" s="26">
        <v>557</v>
      </c>
    </row>
    <row r="76" spans="2:6">
      <c r="B76" s="484"/>
      <c r="C76" s="15">
        <v>2018</v>
      </c>
      <c r="D76" s="11">
        <v>2759</v>
      </c>
      <c r="E76" s="11">
        <v>2024</v>
      </c>
      <c r="F76" s="26">
        <v>729</v>
      </c>
    </row>
    <row r="77" spans="2:6">
      <c r="B77" s="484"/>
      <c r="C77" s="15">
        <v>2019</v>
      </c>
      <c r="D77" s="11">
        <v>3056</v>
      </c>
      <c r="E77" s="11">
        <v>2209</v>
      </c>
      <c r="F77" s="26">
        <v>845</v>
      </c>
    </row>
    <row r="78" spans="2:6">
      <c r="B78" s="484"/>
      <c r="C78" s="15">
        <v>2020</v>
      </c>
      <c r="D78" s="11">
        <v>3542</v>
      </c>
      <c r="E78" s="11">
        <v>2704</v>
      </c>
      <c r="F78" s="26">
        <v>837</v>
      </c>
    </row>
    <row r="79" spans="2:6">
      <c r="B79" s="463"/>
      <c r="C79" s="16">
        <v>2021</v>
      </c>
      <c r="D79" s="27">
        <v>4313</v>
      </c>
      <c r="E79" s="27">
        <v>3273</v>
      </c>
      <c r="F79" s="28">
        <v>1039</v>
      </c>
    </row>
  </sheetData>
  <mergeCells count="9">
    <mergeCell ref="M30:S51"/>
    <mergeCell ref="T29:X51"/>
    <mergeCell ref="B56:B79"/>
    <mergeCell ref="K2:L2"/>
    <mergeCell ref="P29:S29"/>
    <mergeCell ref="H55:J55"/>
    <mergeCell ref="B3:B26"/>
    <mergeCell ref="B30:B53"/>
    <mergeCell ref="M29:O29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X79"/>
  <sheetViews>
    <sheetView topLeftCell="I3" zoomScale="72" zoomScaleNormal="115" workbookViewId="0">
      <selection activeCell="Y32" sqref="Y32"/>
    </sheetView>
  </sheetViews>
  <sheetFormatPr baseColWidth="10" defaultColWidth="8.90625" defaultRowHeight="14.5"/>
  <cols>
    <col min="2" max="2" width="14.453125" customWidth="1"/>
    <col min="4" max="4" width="16.26953125" customWidth="1"/>
    <col min="5" max="5" width="13" customWidth="1"/>
    <col min="6" max="6" width="30.90625" customWidth="1"/>
    <col min="7" max="7" width="18.54296875" customWidth="1"/>
    <col min="8" max="8" width="27.54296875" customWidth="1"/>
    <col min="9" max="9" width="38.1796875" customWidth="1"/>
    <col min="10" max="10" width="32.1796875" customWidth="1"/>
  </cols>
  <sheetData>
    <row r="1" spans="2:15" ht="15" thickBot="1"/>
    <row r="2" spans="2:15" ht="36" customHeight="1" thickBot="1">
      <c r="B2" s="148" t="s">
        <v>349</v>
      </c>
      <c r="C2" s="148" t="s">
        <v>337</v>
      </c>
      <c r="D2" s="148" t="s">
        <v>96</v>
      </c>
      <c r="E2" s="148" t="s">
        <v>338</v>
      </c>
      <c r="F2" s="148" t="s">
        <v>339</v>
      </c>
      <c r="G2" s="148" t="s">
        <v>340</v>
      </c>
      <c r="H2" s="148" t="s">
        <v>341</v>
      </c>
      <c r="I2" s="148" t="s">
        <v>342</v>
      </c>
      <c r="K2" s="485" t="s">
        <v>359</v>
      </c>
      <c r="L2" s="487"/>
      <c r="M2" s="487"/>
      <c r="N2" s="487"/>
      <c r="O2" s="488"/>
    </row>
    <row r="3" spans="2:15">
      <c r="B3" s="492" t="s">
        <v>91</v>
      </c>
      <c r="C3" s="226">
        <v>1998</v>
      </c>
      <c r="D3" s="254">
        <v>131326</v>
      </c>
      <c r="E3" s="254">
        <v>114695</v>
      </c>
      <c r="F3" s="254">
        <v>16631</v>
      </c>
      <c r="G3" s="238">
        <f t="shared" ref="G3:I5" si="0">(D4-D3)/D3</f>
        <v>2.0155947794039262E-2</v>
      </c>
      <c r="H3" s="238">
        <f t="shared" si="0"/>
        <v>8.5879942456079158E-3</v>
      </c>
      <c r="I3" s="255">
        <f t="shared" si="0"/>
        <v>9.9933858457098193E-2</v>
      </c>
    </row>
    <row r="4" spans="2:15">
      <c r="B4" s="493"/>
      <c r="C4" s="123">
        <v>1999</v>
      </c>
      <c r="D4" s="2">
        <v>133973</v>
      </c>
      <c r="E4" s="2">
        <v>115680</v>
      </c>
      <c r="F4" s="2">
        <v>18293</v>
      </c>
      <c r="G4" s="3">
        <f t="shared" si="0"/>
        <v>1.8884402081016324E-3</v>
      </c>
      <c r="H4" s="3">
        <f t="shared" si="0"/>
        <v>-1.9164937759336101E-2</v>
      </c>
      <c r="I4" s="10">
        <f t="shared" si="0"/>
        <v>0.13502432624501176</v>
      </c>
    </row>
    <row r="5" spans="2:15">
      <c r="B5" s="493"/>
      <c r="C5" s="123">
        <v>2000</v>
      </c>
      <c r="D5" s="2">
        <v>134226</v>
      </c>
      <c r="E5" s="2">
        <v>113463</v>
      </c>
      <c r="F5" s="2">
        <v>20763</v>
      </c>
      <c r="G5" s="3">
        <f t="shared" si="0"/>
        <v>1.2240549520957192E-2</v>
      </c>
      <c r="H5" s="3">
        <f t="shared" si="0"/>
        <v>-8.4080272864281748E-3</v>
      </c>
      <c r="I5" s="10">
        <f t="shared" si="0"/>
        <v>0.12507826422000673</v>
      </c>
    </row>
    <row r="6" spans="2:15">
      <c r="B6" s="493"/>
      <c r="C6" s="123">
        <v>2001</v>
      </c>
      <c r="D6" s="2">
        <v>135869</v>
      </c>
      <c r="E6" s="2">
        <v>112509</v>
      </c>
      <c r="F6" s="2">
        <v>23360</v>
      </c>
      <c r="G6" s="3">
        <f t="shared" ref="G6:G25" si="1">(D7-D6)/D6</f>
        <v>5.2918620141459791E-3</v>
      </c>
      <c r="H6" s="3">
        <f t="shared" ref="H6:H25" si="2">(E7-E6)/E6</f>
        <v>-2.2824840679412314E-2</v>
      </c>
      <c r="I6" s="9">
        <f t="shared" ref="I6:I25" si="3">(F7-F6)/F6</f>
        <v>0.14071061643835617</v>
      </c>
    </row>
    <row r="7" spans="2:15">
      <c r="B7" s="493"/>
      <c r="C7" s="123">
        <v>2002</v>
      </c>
      <c r="D7" s="2">
        <v>136588</v>
      </c>
      <c r="E7" s="2">
        <v>109941</v>
      </c>
      <c r="F7" s="2">
        <v>26647</v>
      </c>
      <c r="G7" s="3">
        <f t="shared" si="1"/>
        <v>6.8820101326617271E-4</v>
      </c>
      <c r="H7" s="3">
        <f t="shared" si="2"/>
        <v>-3.3108667376138108E-2</v>
      </c>
      <c r="I7" s="10">
        <f t="shared" si="3"/>
        <v>0.14012834465418245</v>
      </c>
    </row>
    <row r="8" spans="2:15">
      <c r="B8" s="493"/>
      <c r="C8" s="123">
        <v>2003</v>
      </c>
      <c r="D8" s="2">
        <v>136682</v>
      </c>
      <c r="E8" s="2">
        <v>106301</v>
      </c>
      <c r="F8" s="2">
        <v>30381</v>
      </c>
      <c r="G8" s="3">
        <f t="shared" si="1"/>
        <v>1.6095755110402248E-4</v>
      </c>
      <c r="H8" s="3">
        <f t="shared" si="2"/>
        <v>-3.5295999096904077E-2</v>
      </c>
      <c r="I8" s="10">
        <f t="shared" si="3"/>
        <v>0.12422237582699713</v>
      </c>
    </row>
    <row r="9" spans="2:15">
      <c r="B9" s="493"/>
      <c r="C9" s="123">
        <v>2004</v>
      </c>
      <c r="D9" s="2">
        <v>136704</v>
      </c>
      <c r="E9" s="2">
        <v>102549</v>
      </c>
      <c r="F9" s="2">
        <v>34155</v>
      </c>
      <c r="G9" s="3">
        <f t="shared" si="1"/>
        <v>3.6575374531835204E-3</v>
      </c>
      <c r="H9" s="3">
        <f t="shared" si="2"/>
        <v>-2.7879355235058363E-2</v>
      </c>
      <c r="I9" s="9">
        <f t="shared" si="3"/>
        <v>9.8345776606646174E-2</v>
      </c>
    </row>
    <row r="10" spans="2:15">
      <c r="B10" s="493"/>
      <c r="C10" s="123">
        <v>2005</v>
      </c>
      <c r="D10" s="4">
        <v>137204</v>
      </c>
      <c r="E10" s="4">
        <v>99690</v>
      </c>
      <c r="F10" s="4">
        <v>37514</v>
      </c>
      <c r="G10" s="3">
        <f t="shared" si="1"/>
        <v>1.1085682633159384E-2</v>
      </c>
      <c r="H10" s="3">
        <f t="shared" si="2"/>
        <v>-1.404353495837095E-2</v>
      </c>
      <c r="I10" s="10">
        <f t="shared" si="3"/>
        <v>7.7864264008103645E-2</v>
      </c>
    </row>
    <row r="11" spans="2:15">
      <c r="B11" s="493"/>
      <c r="C11" s="123">
        <v>2006</v>
      </c>
      <c r="D11" s="4">
        <v>138725</v>
      </c>
      <c r="E11" s="4">
        <v>98290</v>
      </c>
      <c r="F11" s="4">
        <v>40435</v>
      </c>
      <c r="G11" s="3">
        <f t="shared" si="1"/>
        <v>1.623355559560281E-2</v>
      </c>
      <c r="H11" s="3">
        <f t="shared" si="2"/>
        <v>-1.3633126462508902E-3</v>
      </c>
      <c r="I11" s="10">
        <f t="shared" si="3"/>
        <v>5.9008284901694075E-2</v>
      </c>
    </row>
    <row r="12" spans="2:15">
      <c r="B12" s="493"/>
      <c r="C12" s="123">
        <v>2007</v>
      </c>
      <c r="D12" s="4">
        <v>140977</v>
      </c>
      <c r="E12" s="4">
        <v>98156</v>
      </c>
      <c r="F12" s="4">
        <v>42821</v>
      </c>
      <c r="G12" s="3">
        <f t="shared" si="1"/>
        <v>2.0939585889896934E-2</v>
      </c>
      <c r="H12" s="3">
        <f t="shared" si="2"/>
        <v>8.8532540038306368E-3</v>
      </c>
      <c r="I12" s="9">
        <f t="shared" si="3"/>
        <v>4.8644356740851449E-2</v>
      </c>
    </row>
    <row r="13" spans="2:15">
      <c r="B13" s="493"/>
      <c r="C13" s="123">
        <v>2008</v>
      </c>
      <c r="D13" s="4">
        <v>143929</v>
      </c>
      <c r="E13" s="4">
        <v>99025</v>
      </c>
      <c r="F13" s="4">
        <v>44904</v>
      </c>
      <c r="G13" s="3">
        <f t="shared" si="1"/>
        <v>2.3178094755052839E-2</v>
      </c>
      <c r="H13" s="3">
        <f t="shared" si="2"/>
        <v>1.5480939156778591E-2</v>
      </c>
      <c r="I13" s="10">
        <f t="shared" si="3"/>
        <v>4.0152324959914484E-2</v>
      </c>
    </row>
    <row r="14" spans="2:15">
      <c r="B14" s="493"/>
      <c r="C14" s="123">
        <v>2009</v>
      </c>
      <c r="D14" s="4">
        <v>147265</v>
      </c>
      <c r="E14" s="4">
        <v>100558</v>
      </c>
      <c r="F14" s="4">
        <v>46707</v>
      </c>
      <c r="G14" s="3">
        <f t="shared" si="1"/>
        <v>2.4323498455165859E-2</v>
      </c>
      <c r="H14" s="3">
        <f t="shared" si="2"/>
        <v>1.9312237713558344E-2</v>
      </c>
      <c r="I14" s="10">
        <f t="shared" si="3"/>
        <v>3.5112509902155996E-2</v>
      </c>
    </row>
    <row r="15" spans="2:15">
      <c r="B15" s="493"/>
      <c r="C15" s="123">
        <v>2010</v>
      </c>
      <c r="D15" s="4">
        <v>150847</v>
      </c>
      <c r="E15" s="4">
        <v>102500</v>
      </c>
      <c r="F15" s="4">
        <v>48347</v>
      </c>
      <c r="G15" s="3">
        <f t="shared" si="1"/>
        <v>2.4475130430170969E-2</v>
      </c>
      <c r="H15" s="3">
        <f t="shared" si="2"/>
        <v>2.0907317073170732E-2</v>
      </c>
      <c r="I15" s="9">
        <f t="shared" si="3"/>
        <v>3.2039216497404183E-2</v>
      </c>
    </row>
    <row r="16" spans="2:15">
      <c r="B16" s="493"/>
      <c r="C16" s="123">
        <v>2011</v>
      </c>
      <c r="D16" s="4">
        <v>154539</v>
      </c>
      <c r="E16" s="4">
        <v>104643</v>
      </c>
      <c r="F16" s="4">
        <v>49896</v>
      </c>
      <c r="G16" s="3">
        <f t="shared" si="1"/>
        <v>2.4498670238580551E-2</v>
      </c>
      <c r="H16" s="3">
        <f t="shared" si="2"/>
        <v>2.1989048479114703E-2</v>
      </c>
      <c r="I16" s="10">
        <f t="shared" si="3"/>
        <v>2.976190476190476E-2</v>
      </c>
    </row>
    <row r="17" spans="2:24">
      <c r="B17" s="493"/>
      <c r="C17" s="123">
        <v>2012</v>
      </c>
      <c r="D17" s="4">
        <v>158325</v>
      </c>
      <c r="E17" s="4">
        <v>106944</v>
      </c>
      <c r="F17" s="4">
        <v>51381</v>
      </c>
      <c r="G17" s="3">
        <f t="shared" si="1"/>
        <v>2.444970787936207E-2</v>
      </c>
      <c r="H17" s="3">
        <f t="shared" si="2"/>
        <v>2.2497755834829443E-2</v>
      </c>
      <c r="I17" s="10">
        <f t="shared" si="3"/>
        <v>2.8512485159884002E-2</v>
      </c>
    </row>
    <row r="18" spans="2:24">
      <c r="B18" s="493"/>
      <c r="C18" s="123">
        <v>2013</v>
      </c>
      <c r="D18" s="4">
        <v>162196</v>
      </c>
      <c r="E18" s="4">
        <v>109350</v>
      </c>
      <c r="F18" s="4">
        <v>52846</v>
      </c>
      <c r="G18" s="3">
        <f t="shared" si="1"/>
        <v>2.3884682729537102E-2</v>
      </c>
      <c r="H18" s="3">
        <f t="shared" si="2"/>
        <v>2.2459990855052583E-2</v>
      </c>
      <c r="I18" s="9">
        <f t="shared" si="3"/>
        <v>2.6832683646822845E-2</v>
      </c>
    </row>
    <row r="19" spans="2:24">
      <c r="B19" s="493"/>
      <c r="C19" s="123">
        <v>2014</v>
      </c>
      <c r="D19" s="4">
        <v>166070</v>
      </c>
      <c r="E19" s="4">
        <v>111806</v>
      </c>
      <c r="F19" s="4">
        <v>54264</v>
      </c>
      <c r="G19" s="3">
        <f t="shared" si="1"/>
        <v>2.3851387968928765E-2</v>
      </c>
      <c r="H19" s="3">
        <f t="shared" si="2"/>
        <v>2.2717922115092212E-2</v>
      </c>
      <c r="I19" s="10">
        <f t="shared" si="3"/>
        <v>2.6186790505675954E-2</v>
      </c>
    </row>
    <row r="20" spans="2:24">
      <c r="B20" s="493"/>
      <c r="C20" s="123">
        <v>2015</v>
      </c>
      <c r="D20" s="4">
        <v>170031</v>
      </c>
      <c r="E20" s="4">
        <v>114346</v>
      </c>
      <c r="F20" s="4">
        <v>55685</v>
      </c>
      <c r="G20" s="3">
        <f t="shared" si="1"/>
        <v>2.731854779422576E-2</v>
      </c>
      <c r="H20" s="3">
        <f t="shared" si="2"/>
        <v>2.6454795095587076E-2</v>
      </c>
      <c r="I20" s="10">
        <f t="shared" si="3"/>
        <v>2.9092215138726767E-2</v>
      </c>
    </row>
    <row r="21" spans="2:24">
      <c r="B21" s="493"/>
      <c r="C21" s="123">
        <v>2016</v>
      </c>
      <c r="D21" s="4">
        <v>174676</v>
      </c>
      <c r="E21" s="4">
        <v>117371</v>
      </c>
      <c r="F21" s="4">
        <v>57305</v>
      </c>
      <c r="G21" s="3">
        <f t="shared" si="1"/>
        <v>3.1481142229041199E-2</v>
      </c>
      <c r="H21" s="3">
        <f t="shared" si="2"/>
        <v>3.0458971977745782E-2</v>
      </c>
      <c r="I21" s="9">
        <f t="shared" si="3"/>
        <v>3.3574731698804643E-2</v>
      </c>
    </row>
    <row r="22" spans="2:24">
      <c r="B22" s="493"/>
      <c r="C22" s="123">
        <v>2017</v>
      </c>
      <c r="D22" s="4">
        <v>180175</v>
      </c>
      <c r="E22" s="4">
        <v>120946</v>
      </c>
      <c r="F22" s="4">
        <v>59229</v>
      </c>
      <c r="G22" s="3">
        <f t="shared" si="1"/>
        <v>4.3507700846399336E-2</v>
      </c>
      <c r="H22" s="3">
        <f t="shared" si="2"/>
        <v>4.2638863625088883E-2</v>
      </c>
      <c r="I22" s="10">
        <f t="shared" si="3"/>
        <v>4.5281872055918555E-2</v>
      </c>
    </row>
    <row r="23" spans="2:24">
      <c r="B23" s="493"/>
      <c r="C23" s="123">
        <v>2018</v>
      </c>
      <c r="D23" s="4">
        <v>188014</v>
      </c>
      <c r="E23" s="4">
        <v>126103</v>
      </c>
      <c r="F23" s="4">
        <v>61911</v>
      </c>
      <c r="G23" s="3">
        <f t="shared" si="1"/>
        <v>4.1129915857329773E-2</v>
      </c>
      <c r="H23" s="3">
        <f t="shared" si="2"/>
        <v>9.2749577726144505E-2</v>
      </c>
      <c r="I23" s="10">
        <f t="shared" si="3"/>
        <v>-6.4011241944081018E-2</v>
      </c>
    </row>
    <row r="24" spans="2:24">
      <c r="B24" s="493"/>
      <c r="C24" s="123">
        <v>2019</v>
      </c>
      <c r="D24" s="4">
        <v>195747</v>
      </c>
      <c r="E24" s="4">
        <v>137799</v>
      </c>
      <c r="F24" s="4">
        <v>57948</v>
      </c>
      <c r="G24" s="3">
        <f t="shared" si="1"/>
        <v>5.2823287202358148E-2</v>
      </c>
      <c r="H24" s="3">
        <f t="shared" si="2"/>
        <v>9.0965827037932059E-2</v>
      </c>
      <c r="I24" s="9">
        <f t="shared" si="3"/>
        <v>-3.787878787878788E-2</v>
      </c>
    </row>
    <row r="25" spans="2:24">
      <c r="B25" s="493"/>
      <c r="C25" s="123">
        <v>2020</v>
      </c>
      <c r="D25" s="4">
        <v>206087</v>
      </c>
      <c r="E25" s="4">
        <v>150334</v>
      </c>
      <c r="F25" s="4">
        <v>55753</v>
      </c>
      <c r="G25" s="3">
        <f t="shared" si="1"/>
        <v>3.1025731851111425E-2</v>
      </c>
      <c r="H25" s="3">
        <f t="shared" si="2"/>
        <v>3.4702728591004033E-2</v>
      </c>
      <c r="I25" s="10">
        <f t="shared" si="3"/>
        <v>2.1110971606909047E-2</v>
      </c>
    </row>
    <row r="26" spans="2:24" ht="15" thickBot="1">
      <c r="B26" s="494"/>
      <c r="C26" s="128">
        <v>2021</v>
      </c>
      <c r="D26" s="6">
        <v>212481</v>
      </c>
      <c r="E26" s="6">
        <v>155551</v>
      </c>
      <c r="F26" s="6">
        <v>56930</v>
      </c>
      <c r="G26" s="12"/>
      <c r="H26" s="12"/>
      <c r="I26" s="163"/>
    </row>
    <row r="28" spans="2:24" ht="15" thickBot="1">
      <c r="L28" s="330"/>
      <c r="M28" s="330"/>
      <c r="N28" s="330"/>
      <c r="O28" s="330"/>
      <c r="P28" s="330"/>
      <c r="Q28" s="330"/>
      <c r="R28" s="330"/>
      <c r="S28" s="330"/>
      <c r="T28" s="330"/>
      <c r="U28" s="330"/>
      <c r="V28" s="330"/>
      <c r="W28" s="330"/>
      <c r="X28" s="330"/>
    </row>
    <row r="29" spans="2:24" ht="33" customHeight="1" thickBot="1">
      <c r="B29" s="148" t="s">
        <v>349</v>
      </c>
      <c r="C29" s="148" t="s">
        <v>337</v>
      </c>
      <c r="D29" s="148" t="s">
        <v>343</v>
      </c>
      <c r="E29" s="148" t="s">
        <v>3</v>
      </c>
      <c r="F29" s="148" t="s">
        <v>344</v>
      </c>
      <c r="G29" s="148" t="s">
        <v>337</v>
      </c>
      <c r="H29" s="218" t="s">
        <v>350</v>
      </c>
      <c r="I29" s="218" t="s">
        <v>351</v>
      </c>
      <c r="J29" s="217" t="s">
        <v>352</v>
      </c>
      <c r="L29" s="330"/>
      <c r="M29" s="330"/>
      <c r="N29" s="496" t="s">
        <v>359</v>
      </c>
      <c r="O29" s="522"/>
      <c r="P29" s="522"/>
      <c r="Q29" s="522"/>
      <c r="R29" s="522"/>
      <c r="S29" s="522"/>
      <c r="T29" s="522"/>
      <c r="U29" s="523"/>
      <c r="V29" s="330"/>
      <c r="W29" s="330"/>
      <c r="X29" s="330"/>
    </row>
    <row r="30" spans="2:24" ht="14.5" customHeight="1">
      <c r="B30" s="489" t="s">
        <v>91</v>
      </c>
      <c r="C30" s="227">
        <v>1998</v>
      </c>
      <c r="D30" s="138">
        <v>3604</v>
      </c>
      <c r="E30" s="138">
        <v>3125</v>
      </c>
      <c r="F30" s="138">
        <v>26</v>
      </c>
      <c r="G30" s="138">
        <v>1998</v>
      </c>
      <c r="H30" s="138">
        <f>D30-D56</f>
        <v>3264</v>
      </c>
      <c r="I30" s="262">
        <f>D3-H30</f>
        <v>128062</v>
      </c>
      <c r="J30" s="165">
        <f>(I31-I30)/I30</f>
        <v>2.0833658696568849E-2</v>
      </c>
      <c r="L30" s="330"/>
      <c r="M30" s="330"/>
      <c r="N30" s="524"/>
      <c r="O30" s="521"/>
      <c r="P30" s="521"/>
      <c r="Q30" s="521"/>
      <c r="R30" s="521"/>
      <c r="S30" s="521"/>
      <c r="T30" s="521"/>
      <c r="U30" s="525"/>
      <c r="V30" s="330"/>
      <c r="W30" s="330"/>
      <c r="X30" s="330"/>
    </row>
    <row r="31" spans="2:24" ht="14.5" customHeight="1" thickBot="1">
      <c r="B31" s="490"/>
      <c r="C31" s="123">
        <v>1999</v>
      </c>
      <c r="D31" s="1">
        <v>3590</v>
      </c>
      <c r="E31" s="1">
        <v>3260</v>
      </c>
      <c r="F31" s="1">
        <f>52+10</f>
        <v>62</v>
      </c>
      <c r="G31" s="1">
        <v>1999</v>
      </c>
      <c r="H31" s="1">
        <f>D31-D57</f>
        <v>3243</v>
      </c>
      <c r="I31" s="80">
        <f>D4-H31</f>
        <v>130730</v>
      </c>
      <c r="J31" s="10">
        <f>(I32-I31)/I31</f>
        <v>3.9088197047349501E-3</v>
      </c>
      <c r="L31" s="330"/>
      <c r="M31" s="330"/>
      <c r="N31" s="526"/>
      <c r="O31" s="527"/>
      <c r="P31" s="527"/>
      <c r="Q31" s="527"/>
      <c r="R31" s="527"/>
      <c r="S31" s="527"/>
      <c r="T31" s="527"/>
      <c r="U31" s="528"/>
      <c r="V31" s="330"/>
      <c r="W31" s="330"/>
      <c r="X31" s="330"/>
    </row>
    <row r="32" spans="2:24" ht="14.5" customHeight="1">
      <c r="B32" s="490"/>
      <c r="C32" s="123">
        <v>2000</v>
      </c>
      <c r="D32" s="1">
        <v>3398</v>
      </c>
      <c r="E32" s="1">
        <v>3337</v>
      </c>
      <c r="F32" s="1">
        <f>50+9</f>
        <v>59</v>
      </c>
      <c r="G32" s="1">
        <v>2000</v>
      </c>
      <c r="H32" s="1">
        <f>D32-D58</f>
        <v>2985</v>
      </c>
      <c r="I32" s="80">
        <f>D5-H32</f>
        <v>131241</v>
      </c>
      <c r="J32" s="10">
        <f>(I33-I32)/I32</f>
        <v>1.1596985698066916E-2</v>
      </c>
      <c r="L32" s="330"/>
      <c r="M32" s="330"/>
      <c r="N32" s="529"/>
      <c r="O32" s="529"/>
      <c r="P32" s="529"/>
      <c r="Q32" s="529"/>
      <c r="R32" s="529"/>
      <c r="S32" s="529"/>
      <c r="T32" s="529"/>
      <c r="U32" s="529"/>
      <c r="V32" s="330"/>
      <c r="W32" s="330"/>
      <c r="X32" s="330"/>
    </row>
    <row r="33" spans="2:24" ht="14.5" customHeight="1">
      <c r="B33" s="490"/>
      <c r="C33" s="123">
        <v>2001</v>
      </c>
      <c r="D33" s="1">
        <v>3460</v>
      </c>
      <c r="E33" s="1">
        <v>3288</v>
      </c>
      <c r="F33" s="1">
        <f>27+8</f>
        <v>35</v>
      </c>
      <c r="G33" s="1">
        <v>2001</v>
      </c>
      <c r="H33" s="1">
        <f t="shared" ref="H33:H53" si="4">D33-D59</f>
        <v>3106</v>
      </c>
      <c r="I33" s="80">
        <f t="shared" ref="I33:I53" si="5">D6-H33</f>
        <v>132763</v>
      </c>
      <c r="J33" s="10">
        <f t="shared" ref="J33:J52" si="6">(I34-I33)/I33</f>
        <v>6.6810783124816404E-3</v>
      </c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/>
      <c r="X33" s="330"/>
    </row>
    <row r="34" spans="2:24" ht="14.5" customHeight="1">
      <c r="B34" s="490"/>
      <c r="C34" s="123">
        <v>2002</v>
      </c>
      <c r="D34" s="1">
        <v>3356</v>
      </c>
      <c r="E34" s="1">
        <v>3339</v>
      </c>
      <c r="F34" s="1">
        <f>7+8</f>
        <v>15</v>
      </c>
      <c r="G34" s="1">
        <v>2002</v>
      </c>
      <c r="H34" s="1">
        <f t="shared" si="4"/>
        <v>2938</v>
      </c>
      <c r="I34" s="80">
        <f t="shared" si="5"/>
        <v>133650</v>
      </c>
      <c r="J34" s="10">
        <f t="shared" si="6"/>
        <v>-9.1283202394313505E-4</v>
      </c>
      <c r="L34" s="330"/>
      <c r="M34" s="330"/>
      <c r="N34" s="330"/>
      <c r="O34" s="330"/>
      <c r="P34" s="330"/>
      <c r="Q34" s="330"/>
      <c r="R34" s="330"/>
      <c r="S34" s="330"/>
      <c r="T34" s="330"/>
      <c r="U34" s="330"/>
      <c r="V34" s="330"/>
      <c r="W34" s="330"/>
      <c r="X34" s="330"/>
    </row>
    <row r="35" spans="2:24" ht="14.5" customHeight="1">
      <c r="B35" s="490"/>
      <c r="C35" s="123">
        <v>2003</v>
      </c>
      <c r="D35" s="1">
        <v>3513</v>
      </c>
      <c r="E35" s="1">
        <v>3494</v>
      </c>
      <c r="F35" s="1">
        <f>6+13</f>
        <v>19</v>
      </c>
      <c r="G35" s="1">
        <v>2003</v>
      </c>
      <c r="H35" s="1">
        <f t="shared" si="4"/>
        <v>3154</v>
      </c>
      <c r="I35" s="80">
        <f t="shared" si="5"/>
        <v>133528</v>
      </c>
      <c r="J35" s="10">
        <f t="shared" si="6"/>
        <v>3.1004733089689054E-3</v>
      </c>
      <c r="L35" s="330"/>
      <c r="M35" s="330"/>
      <c r="N35" s="330"/>
      <c r="O35" s="330"/>
      <c r="P35" s="330"/>
      <c r="Q35" s="330"/>
      <c r="R35" s="330"/>
      <c r="S35" s="330"/>
      <c r="T35" s="330"/>
      <c r="U35" s="330"/>
      <c r="V35" s="330"/>
      <c r="W35" s="330"/>
      <c r="X35" s="330"/>
    </row>
    <row r="36" spans="2:24" ht="14.5" customHeight="1">
      <c r="B36" s="490"/>
      <c r="C36" s="123">
        <v>2004</v>
      </c>
      <c r="D36" s="1">
        <v>3246</v>
      </c>
      <c r="E36" s="1">
        <v>3235</v>
      </c>
      <c r="F36" s="1">
        <f>5+6</f>
        <v>11</v>
      </c>
      <c r="G36" s="1">
        <v>2004</v>
      </c>
      <c r="H36" s="1">
        <f t="shared" si="4"/>
        <v>2762</v>
      </c>
      <c r="I36" s="80">
        <f t="shared" si="5"/>
        <v>133942</v>
      </c>
      <c r="J36" s="10">
        <f t="shared" si="6"/>
        <v>-1.9187409475743232E-3</v>
      </c>
      <c r="L36" s="330"/>
      <c r="M36" s="330"/>
      <c r="N36" s="330"/>
      <c r="O36" s="330"/>
      <c r="P36" s="330"/>
      <c r="Q36" s="330"/>
      <c r="R36" s="330"/>
      <c r="S36" s="330"/>
      <c r="T36" s="330"/>
      <c r="U36" s="330"/>
      <c r="V36" s="330"/>
      <c r="W36" s="330"/>
      <c r="X36" s="330"/>
    </row>
    <row r="37" spans="2:24" ht="14.5" customHeight="1">
      <c r="B37" s="490"/>
      <c r="C37" s="123">
        <v>2005</v>
      </c>
      <c r="D37" s="1">
        <v>4012</v>
      </c>
      <c r="E37" s="1">
        <v>3974</v>
      </c>
      <c r="F37" s="1">
        <f>14+21</f>
        <v>35</v>
      </c>
      <c r="G37" s="1">
        <v>2005</v>
      </c>
      <c r="H37" s="1">
        <f t="shared" si="4"/>
        <v>3519</v>
      </c>
      <c r="I37" s="80">
        <f t="shared" si="5"/>
        <v>133685</v>
      </c>
      <c r="J37" s="10">
        <f t="shared" si="6"/>
        <v>8.3105808430265181E-3</v>
      </c>
      <c r="L37" s="330"/>
      <c r="M37" s="330"/>
      <c r="N37" s="330"/>
      <c r="O37" s="330"/>
      <c r="P37" s="330"/>
      <c r="Q37" s="330"/>
      <c r="R37" s="330"/>
      <c r="S37" s="330"/>
      <c r="T37" s="330"/>
      <c r="U37" s="330"/>
      <c r="V37" s="330"/>
      <c r="W37" s="330"/>
      <c r="X37" s="330"/>
    </row>
    <row r="38" spans="2:24" ht="14.5" customHeight="1">
      <c r="B38" s="490"/>
      <c r="C38" s="123">
        <v>2006</v>
      </c>
      <c r="D38" s="1">
        <v>4437</v>
      </c>
      <c r="E38" s="1">
        <v>4307</v>
      </c>
      <c r="F38" s="1">
        <f>18+110</f>
        <v>128</v>
      </c>
      <c r="G38" s="1">
        <v>2006</v>
      </c>
      <c r="H38" s="1">
        <f t="shared" si="4"/>
        <v>3929</v>
      </c>
      <c r="I38" s="80">
        <f t="shared" si="5"/>
        <v>134796</v>
      </c>
      <c r="J38" s="10">
        <f t="shared" si="6"/>
        <v>1.5044956823644618E-2</v>
      </c>
      <c r="L38" s="330"/>
      <c r="M38" s="330"/>
      <c r="N38" s="330"/>
      <c r="O38" s="330"/>
      <c r="P38" s="330"/>
      <c r="Q38" s="330"/>
      <c r="R38" s="330"/>
      <c r="S38" s="330"/>
      <c r="T38" s="330"/>
      <c r="U38" s="330"/>
      <c r="V38" s="330"/>
      <c r="W38" s="330"/>
      <c r="X38" s="330"/>
    </row>
    <row r="39" spans="2:24" ht="14.5" customHeight="1">
      <c r="B39" s="490"/>
      <c r="C39" s="123">
        <v>2007</v>
      </c>
      <c r="D39" s="1">
        <v>4686</v>
      </c>
      <c r="E39" s="1">
        <v>4470</v>
      </c>
      <c r="F39" s="1">
        <f>14+174</f>
        <v>188</v>
      </c>
      <c r="G39" s="1">
        <v>2007</v>
      </c>
      <c r="H39" s="1">
        <f t="shared" si="4"/>
        <v>4153</v>
      </c>
      <c r="I39" s="80">
        <f t="shared" si="5"/>
        <v>136824</v>
      </c>
      <c r="J39" s="10">
        <f t="shared" si="6"/>
        <v>1.8936736245103197E-2</v>
      </c>
      <c r="L39" s="330"/>
      <c r="M39" s="330"/>
      <c r="N39" s="330"/>
      <c r="O39" s="330"/>
      <c r="P39" s="330"/>
      <c r="Q39" s="330"/>
      <c r="R39" s="330"/>
      <c r="S39" s="330"/>
      <c r="T39" s="330"/>
      <c r="U39" s="330"/>
      <c r="V39" s="330"/>
      <c r="W39" s="330"/>
      <c r="X39" s="330"/>
    </row>
    <row r="40" spans="2:24" ht="14.5" customHeight="1">
      <c r="B40" s="490"/>
      <c r="C40" s="123">
        <v>2008</v>
      </c>
      <c r="D40" s="1">
        <v>4998</v>
      </c>
      <c r="E40" s="1">
        <f>2419+2230</f>
        <v>4649</v>
      </c>
      <c r="F40" s="1">
        <f>20+25+136+147</f>
        <v>328</v>
      </c>
      <c r="G40" s="1">
        <v>2008</v>
      </c>
      <c r="H40" s="1">
        <f t="shared" si="4"/>
        <v>4514</v>
      </c>
      <c r="I40" s="80">
        <f t="shared" si="5"/>
        <v>139415</v>
      </c>
      <c r="J40" s="10">
        <f t="shared" si="6"/>
        <v>2.6403184736219203E-2</v>
      </c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</row>
    <row r="41" spans="2:24" ht="14.5" customHeight="1">
      <c r="B41" s="490"/>
      <c r="C41" s="123">
        <v>2009</v>
      </c>
      <c r="D41" s="1">
        <v>4689</v>
      </c>
      <c r="E41" s="1">
        <f>2299+2228</f>
        <v>4527</v>
      </c>
      <c r="F41" s="1">
        <f>14+10+54+81</f>
        <v>159</v>
      </c>
      <c r="G41" s="1">
        <v>2009</v>
      </c>
      <c r="H41" s="1">
        <f t="shared" si="4"/>
        <v>4169</v>
      </c>
      <c r="I41" s="80">
        <f t="shared" si="5"/>
        <v>143096</v>
      </c>
      <c r="J41" s="10">
        <f t="shared" si="6"/>
        <v>2.7072734388103092E-2</v>
      </c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</row>
    <row r="42" spans="2:24" ht="14.5" customHeight="1">
      <c r="B42" s="490"/>
      <c r="C42" s="123">
        <v>2010</v>
      </c>
      <c r="D42" s="1">
        <v>4419</v>
      </c>
      <c r="E42" s="1">
        <f>2266+2131</f>
        <v>4397</v>
      </c>
      <c r="F42" s="1">
        <f>2+8+12</f>
        <v>22</v>
      </c>
      <c r="G42" s="1">
        <v>2010</v>
      </c>
      <c r="H42" s="1">
        <f t="shared" si="4"/>
        <v>3877</v>
      </c>
      <c r="I42" s="80">
        <f t="shared" si="5"/>
        <v>146970</v>
      </c>
      <c r="J42" s="10">
        <f t="shared" si="6"/>
        <v>2.1990882493025787E-2</v>
      </c>
      <c r="L42" s="330"/>
      <c r="M42" s="330"/>
      <c r="N42" s="330"/>
      <c r="O42" s="330"/>
      <c r="P42" s="330"/>
      <c r="Q42" s="330"/>
      <c r="R42" s="330"/>
      <c r="S42" s="330"/>
      <c r="T42" s="330"/>
      <c r="U42" s="330"/>
      <c r="V42" s="330"/>
      <c r="W42" s="330"/>
      <c r="X42" s="330"/>
    </row>
    <row r="43" spans="2:24" ht="14.5" customHeight="1">
      <c r="B43" s="490"/>
      <c r="C43" s="123">
        <v>2011</v>
      </c>
      <c r="D43" s="1">
        <v>4937</v>
      </c>
      <c r="E43" s="1">
        <f>2570+2349</f>
        <v>4919</v>
      </c>
      <c r="F43" s="1">
        <f>2*4+5*2</f>
        <v>18</v>
      </c>
      <c r="G43" s="1">
        <v>2011</v>
      </c>
      <c r="H43" s="1">
        <f t="shared" si="4"/>
        <v>4337</v>
      </c>
      <c r="I43" s="80">
        <f>D16-H43</f>
        <v>150202</v>
      </c>
      <c r="J43" s="10">
        <f t="shared" si="6"/>
        <v>2.336187267812679E-2</v>
      </c>
      <c r="L43" s="330"/>
      <c r="M43" s="330"/>
      <c r="N43" s="330"/>
      <c r="O43" s="330"/>
      <c r="P43" s="330"/>
      <c r="Q43" s="330"/>
      <c r="R43" s="330"/>
      <c r="S43" s="330"/>
      <c r="T43" s="330"/>
      <c r="U43" s="330"/>
      <c r="V43" s="330"/>
      <c r="W43" s="330"/>
      <c r="X43" s="330"/>
    </row>
    <row r="44" spans="2:24" ht="14.5" customHeight="1">
      <c r="B44" s="490"/>
      <c r="C44" s="123">
        <v>2012</v>
      </c>
      <c r="D44" s="1">
        <v>5193</v>
      </c>
      <c r="E44" s="1">
        <f>2686+2498</f>
        <v>5184</v>
      </c>
      <c r="F44" s="1">
        <f>2+1+2+4</f>
        <v>9</v>
      </c>
      <c r="G44" s="1">
        <v>2012</v>
      </c>
      <c r="H44" s="1">
        <f t="shared" si="4"/>
        <v>4614</v>
      </c>
      <c r="I44" s="80">
        <f t="shared" si="5"/>
        <v>153711</v>
      </c>
      <c r="J44" s="10">
        <f t="shared" si="6"/>
        <v>2.6042378229274417E-2</v>
      </c>
      <c r="L44" s="330"/>
      <c r="M44" s="330"/>
      <c r="N44" s="330"/>
      <c r="O44" s="330"/>
      <c r="P44" s="330"/>
      <c r="Q44" s="330"/>
      <c r="R44" s="330"/>
      <c r="S44" s="330"/>
      <c r="T44" s="330"/>
      <c r="U44" s="330"/>
      <c r="V44" s="330"/>
      <c r="W44" s="330"/>
      <c r="X44" s="330"/>
    </row>
    <row r="45" spans="2:24" ht="14.5" customHeight="1">
      <c r="B45" s="490"/>
      <c r="C45" s="123">
        <v>2013</v>
      </c>
      <c r="D45" s="1">
        <v>5023</v>
      </c>
      <c r="E45" s="1">
        <f>2578+2434</f>
        <v>5012</v>
      </c>
      <c r="F45" s="1">
        <f>2+4+2+3</f>
        <v>11</v>
      </c>
      <c r="G45" s="1">
        <v>2013</v>
      </c>
      <c r="H45" s="1">
        <f t="shared" si="4"/>
        <v>4482</v>
      </c>
      <c r="I45" s="80">
        <f t="shared" si="5"/>
        <v>157714</v>
      </c>
      <c r="J45" s="10">
        <f t="shared" si="6"/>
        <v>2.2261815691695094E-2</v>
      </c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</row>
    <row r="46" spans="2:24" ht="14.5" customHeight="1">
      <c r="B46" s="490"/>
      <c r="C46" s="123">
        <v>2014</v>
      </c>
      <c r="D46" s="1">
        <v>5449</v>
      </c>
      <c r="E46" s="1">
        <f>2772+2663+1</f>
        <v>5436</v>
      </c>
      <c r="F46" s="1">
        <f>1+2+6+4</f>
        <v>13</v>
      </c>
      <c r="G46" s="1">
        <v>2014</v>
      </c>
      <c r="H46" s="1">
        <f t="shared" si="4"/>
        <v>4845</v>
      </c>
      <c r="I46" s="80">
        <f t="shared" si="5"/>
        <v>161225</v>
      </c>
      <c r="J46" s="10">
        <f t="shared" si="6"/>
        <v>2.3513723057838425E-2</v>
      </c>
      <c r="L46" s="330"/>
      <c r="M46" s="330"/>
      <c r="N46" s="330"/>
      <c r="O46" s="330"/>
      <c r="P46" s="330"/>
      <c r="Q46" s="330"/>
      <c r="R46" s="330"/>
      <c r="S46" s="330"/>
      <c r="T46" s="330"/>
      <c r="U46" s="330"/>
      <c r="V46" s="330"/>
      <c r="W46" s="330"/>
      <c r="X46" s="330"/>
    </row>
    <row r="47" spans="2:24" ht="14.5" customHeight="1">
      <c r="B47" s="490"/>
      <c r="C47" s="123">
        <v>2015</v>
      </c>
      <c r="D47" s="1">
        <v>5635</v>
      </c>
      <c r="E47" s="1">
        <f>2858+2758</f>
        <v>5616</v>
      </c>
      <c r="F47" s="1">
        <f>1+4+6+8</f>
        <v>19</v>
      </c>
      <c r="G47" s="1">
        <v>2015</v>
      </c>
      <c r="H47" s="1">
        <f t="shared" si="4"/>
        <v>5015</v>
      </c>
      <c r="I47" s="80">
        <f t="shared" si="5"/>
        <v>165016</v>
      </c>
      <c r="J47" s="10">
        <f t="shared" si="6"/>
        <v>2.7100402385223252E-2</v>
      </c>
      <c r="L47" s="330"/>
      <c r="M47" s="330"/>
      <c r="N47" s="330"/>
      <c r="O47" s="330"/>
      <c r="P47" s="330"/>
      <c r="Q47" s="330"/>
      <c r="R47" s="330"/>
      <c r="S47" s="330"/>
      <c r="T47" s="330"/>
      <c r="U47" s="330"/>
      <c r="V47" s="330"/>
      <c r="W47" s="330"/>
      <c r="X47" s="330"/>
    </row>
    <row r="48" spans="2:24" ht="14.5" customHeight="1">
      <c r="B48" s="490"/>
      <c r="C48" s="123">
        <v>2016</v>
      </c>
      <c r="D48" s="1">
        <v>5808</v>
      </c>
      <c r="E48" s="1">
        <v>2907</v>
      </c>
      <c r="F48" s="1">
        <f>2+25+29</f>
        <v>56</v>
      </c>
      <c r="G48" s="1">
        <v>2016</v>
      </c>
      <c r="H48" s="1">
        <f t="shared" si="4"/>
        <v>5188</v>
      </c>
      <c r="I48" s="80">
        <f t="shared" si="5"/>
        <v>169488</v>
      </c>
      <c r="J48" s="10">
        <f t="shared" si="6"/>
        <v>3.1146747852355328E-2</v>
      </c>
      <c r="L48" s="330"/>
      <c r="M48" s="330"/>
      <c r="N48" s="330"/>
      <c r="O48" s="330"/>
      <c r="P48" s="330"/>
      <c r="Q48" s="330"/>
      <c r="R48" s="330"/>
      <c r="S48" s="330"/>
      <c r="T48" s="330"/>
      <c r="U48" s="330"/>
      <c r="V48" s="330"/>
      <c r="W48" s="330"/>
      <c r="X48" s="330"/>
    </row>
    <row r="49" spans="2:24" ht="14.5" customHeight="1">
      <c r="B49" s="490"/>
      <c r="C49" s="123">
        <v>2017</v>
      </c>
      <c r="D49" s="1">
        <v>6086</v>
      </c>
      <c r="E49" s="1">
        <v>3013</v>
      </c>
      <c r="F49" s="1">
        <f>5+11+22+23</f>
        <v>61</v>
      </c>
      <c r="G49" s="1">
        <v>2017</v>
      </c>
      <c r="H49" s="1">
        <f t="shared" si="4"/>
        <v>5408</v>
      </c>
      <c r="I49" s="80">
        <f t="shared" si="5"/>
        <v>174767</v>
      </c>
      <c r="J49" s="10">
        <f t="shared" si="6"/>
        <v>4.1638295559230293E-2</v>
      </c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/>
      <c r="W49" s="330"/>
      <c r="X49" s="330"/>
    </row>
    <row r="50" spans="2:24" ht="14.5" customHeight="1">
      <c r="B50" s="490"/>
      <c r="C50" s="123">
        <v>2018</v>
      </c>
      <c r="D50" s="1">
        <v>6826</v>
      </c>
      <c r="E50" s="1">
        <f>3502+3283</f>
        <v>6785</v>
      </c>
      <c r="F50" s="1">
        <f>2+16+20</f>
        <v>38</v>
      </c>
      <c r="G50" s="1">
        <v>2018</v>
      </c>
      <c r="H50" s="1">
        <f t="shared" si="4"/>
        <v>5970</v>
      </c>
      <c r="I50" s="80">
        <f t="shared" si="5"/>
        <v>182044</v>
      </c>
      <c r="J50" s="10">
        <f t="shared" si="6"/>
        <v>3.8946628287666721E-2</v>
      </c>
      <c r="L50" s="330"/>
      <c r="M50" s="330"/>
      <c r="N50" s="330"/>
      <c r="O50" s="330"/>
      <c r="P50" s="330"/>
      <c r="Q50" s="330"/>
      <c r="R50" s="330"/>
      <c r="S50" s="330"/>
      <c r="T50" s="330"/>
      <c r="U50" s="330"/>
      <c r="V50" s="330"/>
      <c r="W50" s="330"/>
      <c r="X50" s="330"/>
    </row>
    <row r="51" spans="2:24" ht="14.5" customHeight="1">
      <c r="B51" s="490"/>
      <c r="C51" s="123">
        <v>2019</v>
      </c>
      <c r="D51" s="1">
        <v>7485</v>
      </c>
      <c r="E51" s="1">
        <f>3844+3590+4</f>
        <v>7438</v>
      </c>
      <c r="F51" s="1">
        <f>1+5+23+18</f>
        <v>47</v>
      </c>
      <c r="G51" s="1">
        <v>2019</v>
      </c>
      <c r="H51" s="1">
        <f t="shared" si="4"/>
        <v>6613</v>
      </c>
      <c r="I51" s="80">
        <f t="shared" si="5"/>
        <v>189134</v>
      </c>
      <c r="J51" s="10">
        <f t="shared" si="6"/>
        <v>5.6600082481203802E-2</v>
      </c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</row>
    <row r="52" spans="2:24" ht="14.5" customHeight="1">
      <c r="B52" s="490"/>
      <c r="C52" s="123">
        <v>2020</v>
      </c>
      <c r="D52" s="1">
        <v>7328</v>
      </c>
      <c r="E52" s="1">
        <f>3613+3359</f>
        <v>6972</v>
      </c>
      <c r="F52" s="1">
        <f>176+180+1</f>
        <v>357</v>
      </c>
      <c r="G52" s="1">
        <v>2020</v>
      </c>
      <c r="H52" s="1">
        <f t="shared" si="4"/>
        <v>6248</v>
      </c>
      <c r="I52" s="80">
        <f t="shared" si="5"/>
        <v>199839</v>
      </c>
      <c r="J52" s="10">
        <f t="shared" si="6"/>
        <v>3.0969930794289401E-2</v>
      </c>
      <c r="L52" s="330"/>
      <c r="M52" s="330"/>
      <c r="N52" s="330"/>
      <c r="O52" s="330"/>
      <c r="P52" s="330"/>
      <c r="Q52" s="330"/>
      <c r="R52" s="330"/>
      <c r="S52" s="330"/>
      <c r="T52" s="330"/>
      <c r="U52" s="330"/>
      <c r="V52" s="330"/>
      <c r="W52" s="330"/>
      <c r="X52" s="330"/>
    </row>
    <row r="53" spans="2:24" ht="15" customHeight="1" thickBot="1">
      <c r="B53" s="491"/>
      <c r="C53" s="128">
        <v>2021</v>
      </c>
      <c r="D53" s="5">
        <v>7634</v>
      </c>
      <c r="E53" s="5">
        <f>3747+3634+1</f>
        <v>7382</v>
      </c>
      <c r="F53" s="5">
        <f>4+3+129+116</f>
        <v>252</v>
      </c>
      <c r="G53" s="5">
        <v>2021</v>
      </c>
      <c r="H53" s="5">
        <f t="shared" si="4"/>
        <v>6453</v>
      </c>
      <c r="I53" s="102">
        <f t="shared" si="5"/>
        <v>206028</v>
      </c>
      <c r="J53" s="163"/>
      <c r="L53" s="330"/>
      <c r="M53" s="330"/>
      <c r="N53" s="330"/>
      <c r="O53" s="330"/>
      <c r="P53" s="330"/>
      <c r="Q53" s="330"/>
      <c r="R53" s="330"/>
      <c r="S53" s="330"/>
      <c r="T53" s="330"/>
      <c r="U53" s="330"/>
      <c r="V53" s="330"/>
      <c r="W53" s="330"/>
      <c r="X53" s="330"/>
    </row>
    <row r="54" spans="2:24" ht="15" thickBot="1"/>
    <row r="55" spans="2:24" ht="25.5" customHeight="1" thickBot="1">
      <c r="B55" s="148" t="s">
        <v>349</v>
      </c>
      <c r="C55" s="148" t="s">
        <v>337</v>
      </c>
      <c r="D55" s="148" t="s">
        <v>95</v>
      </c>
      <c r="E55" s="148" t="s">
        <v>338</v>
      </c>
      <c r="F55" s="148" t="s">
        <v>339</v>
      </c>
      <c r="H55" s="497" t="s">
        <v>359</v>
      </c>
      <c r="I55" s="498"/>
    </row>
    <row r="56" spans="2:24" ht="14.5" customHeight="1">
      <c r="B56" s="437" t="s">
        <v>91</v>
      </c>
      <c r="C56" s="227">
        <v>1998</v>
      </c>
      <c r="D56" s="138">
        <v>340</v>
      </c>
      <c r="E56" s="138">
        <v>282</v>
      </c>
      <c r="F56" s="167">
        <v>57</v>
      </c>
      <c r="H56" s="499"/>
      <c r="I56" s="500"/>
    </row>
    <row r="57" spans="2:24" ht="15" customHeight="1" thickBot="1">
      <c r="B57" s="495"/>
      <c r="C57" s="123">
        <v>1999</v>
      </c>
      <c r="D57" s="1">
        <v>347</v>
      </c>
      <c r="E57" s="1">
        <v>282</v>
      </c>
      <c r="F57" s="7">
        <v>53</v>
      </c>
      <c r="H57" s="501"/>
      <c r="I57" s="502"/>
    </row>
    <row r="58" spans="2:24">
      <c r="B58" s="495"/>
      <c r="C58" s="123">
        <v>2000</v>
      </c>
      <c r="D58" s="1">
        <v>413</v>
      </c>
      <c r="E58" s="1">
        <v>337</v>
      </c>
      <c r="F58" s="7">
        <v>61</v>
      </c>
    </row>
    <row r="59" spans="2:24">
      <c r="B59" s="495"/>
      <c r="C59" s="123">
        <v>2001</v>
      </c>
      <c r="D59" s="1">
        <v>354</v>
      </c>
      <c r="E59" s="1">
        <v>298</v>
      </c>
      <c r="F59" s="7">
        <v>44</v>
      </c>
    </row>
    <row r="60" spans="2:24">
      <c r="B60" s="495"/>
      <c r="C60" s="123">
        <v>2002</v>
      </c>
      <c r="D60" s="1">
        <v>418</v>
      </c>
      <c r="E60" s="1">
        <v>326</v>
      </c>
      <c r="F60" s="7">
        <v>70</v>
      </c>
    </row>
    <row r="61" spans="2:24">
      <c r="B61" s="495"/>
      <c r="C61" s="123">
        <v>2003</v>
      </c>
      <c r="D61" s="1">
        <v>359</v>
      </c>
      <c r="E61" s="1">
        <v>291</v>
      </c>
      <c r="F61" s="7">
        <v>58</v>
      </c>
    </row>
    <row r="62" spans="2:24">
      <c r="B62" s="495"/>
      <c r="C62" s="123">
        <v>2004</v>
      </c>
      <c r="D62" s="1">
        <v>484</v>
      </c>
      <c r="E62" s="1">
        <v>401</v>
      </c>
      <c r="F62" s="7">
        <v>68</v>
      </c>
    </row>
    <row r="63" spans="2:24">
      <c r="B63" s="495"/>
      <c r="C63" s="123">
        <v>2005</v>
      </c>
      <c r="D63" s="1">
        <v>493</v>
      </c>
      <c r="E63" s="1">
        <v>403</v>
      </c>
      <c r="F63" s="7">
        <v>77</v>
      </c>
    </row>
    <row r="64" spans="2:24">
      <c r="B64" s="495"/>
      <c r="C64" s="123">
        <v>2006</v>
      </c>
      <c r="D64" s="1">
        <v>508</v>
      </c>
      <c r="E64" s="1">
        <v>396</v>
      </c>
      <c r="F64" s="7">
        <v>96</v>
      </c>
    </row>
    <row r="65" spans="2:6">
      <c r="B65" s="495"/>
      <c r="C65" s="123">
        <v>2007</v>
      </c>
      <c r="D65" s="1">
        <v>533</v>
      </c>
      <c r="E65" s="1">
        <v>400</v>
      </c>
      <c r="F65" s="7">
        <v>99</v>
      </c>
    </row>
    <row r="66" spans="2:6">
      <c r="B66" s="495"/>
      <c r="C66" s="123">
        <v>2008</v>
      </c>
      <c r="D66" s="1">
        <v>484</v>
      </c>
      <c r="E66" s="1">
        <v>353</v>
      </c>
      <c r="F66" s="7">
        <v>87</v>
      </c>
    </row>
    <row r="67" spans="2:6">
      <c r="B67" s="495"/>
      <c r="C67" s="123">
        <v>2009</v>
      </c>
      <c r="D67" s="1">
        <v>520</v>
      </c>
      <c r="E67" s="1">
        <v>407</v>
      </c>
      <c r="F67" s="7">
        <v>76</v>
      </c>
    </row>
    <row r="68" spans="2:6">
      <c r="B68" s="495"/>
      <c r="C68" s="123">
        <v>2010</v>
      </c>
      <c r="D68" s="1">
        <v>542</v>
      </c>
      <c r="E68" s="1">
        <v>423</v>
      </c>
      <c r="F68" s="7">
        <v>102</v>
      </c>
    </row>
    <row r="69" spans="2:6">
      <c r="B69" s="495"/>
      <c r="C69" s="123">
        <v>2011</v>
      </c>
      <c r="D69" s="1">
        <v>600</v>
      </c>
      <c r="E69" s="1">
        <v>476</v>
      </c>
      <c r="F69" s="7">
        <v>124</v>
      </c>
    </row>
    <row r="70" spans="2:6">
      <c r="B70" s="495"/>
      <c r="C70" s="123">
        <v>2012</v>
      </c>
      <c r="D70" s="1">
        <v>579</v>
      </c>
      <c r="E70" s="1">
        <v>435</v>
      </c>
      <c r="F70" s="7">
        <v>143</v>
      </c>
    </row>
    <row r="71" spans="2:6">
      <c r="B71" s="495"/>
      <c r="C71" s="123">
        <v>2013</v>
      </c>
      <c r="D71" s="1">
        <v>541</v>
      </c>
      <c r="E71" s="1">
        <v>417</v>
      </c>
      <c r="F71" s="7">
        <v>124</v>
      </c>
    </row>
    <row r="72" spans="2:6">
      <c r="B72" s="495"/>
      <c r="C72" s="123">
        <v>2014</v>
      </c>
      <c r="D72" s="1">
        <v>604</v>
      </c>
      <c r="E72" s="1">
        <v>474</v>
      </c>
      <c r="F72" s="7">
        <v>130</v>
      </c>
    </row>
    <row r="73" spans="2:6">
      <c r="B73" s="495"/>
      <c r="C73" s="123">
        <v>2015</v>
      </c>
      <c r="D73" s="1">
        <v>620</v>
      </c>
      <c r="E73" s="1">
        <v>476</v>
      </c>
      <c r="F73" s="7">
        <v>144</v>
      </c>
    </row>
    <row r="74" spans="2:6">
      <c r="B74" s="495"/>
      <c r="C74" s="123">
        <v>2016</v>
      </c>
      <c r="D74" s="1">
        <v>620</v>
      </c>
      <c r="E74" s="1">
        <v>460</v>
      </c>
      <c r="F74" s="7">
        <v>159</v>
      </c>
    </row>
    <row r="75" spans="2:6">
      <c r="B75" s="495"/>
      <c r="C75" s="123">
        <v>2017</v>
      </c>
      <c r="D75" s="1">
        <v>678</v>
      </c>
      <c r="E75" s="1">
        <v>544</v>
      </c>
      <c r="F75" s="7">
        <v>134</v>
      </c>
    </row>
    <row r="76" spans="2:6">
      <c r="B76" s="495"/>
      <c r="C76" s="123">
        <v>2018</v>
      </c>
      <c r="D76" s="1">
        <v>856</v>
      </c>
      <c r="E76" s="1">
        <v>658</v>
      </c>
      <c r="F76" s="7">
        <v>198</v>
      </c>
    </row>
    <row r="77" spans="2:6">
      <c r="B77" s="495"/>
      <c r="C77" s="123">
        <v>2019</v>
      </c>
      <c r="D77" s="1">
        <v>872</v>
      </c>
      <c r="E77" s="1">
        <v>668</v>
      </c>
      <c r="F77" s="7">
        <v>204</v>
      </c>
    </row>
    <row r="78" spans="2:6">
      <c r="B78" s="495"/>
      <c r="C78" s="123">
        <v>2020</v>
      </c>
      <c r="D78" s="1">
        <v>1080</v>
      </c>
      <c r="E78" s="1">
        <v>884</v>
      </c>
      <c r="F78" s="7">
        <v>196</v>
      </c>
    </row>
    <row r="79" spans="2:6" ht="15" thickBot="1">
      <c r="B79" s="438"/>
      <c r="C79" s="128">
        <v>2021</v>
      </c>
      <c r="D79" s="5">
        <v>1181</v>
      </c>
      <c r="E79" s="5">
        <v>980</v>
      </c>
      <c r="F79" s="8">
        <v>200</v>
      </c>
    </row>
  </sheetData>
  <mergeCells count="10">
    <mergeCell ref="V29:X53"/>
    <mergeCell ref="L29:M53"/>
    <mergeCell ref="N32:U53"/>
    <mergeCell ref="L28:X28"/>
    <mergeCell ref="B3:B26"/>
    <mergeCell ref="B30:B53"/>
    <mergeCell ref="B56:B79"/>
    <mergeCell ref="K2:O2"/>
    <mergeCell ref="N29:U31"/>
    <mergeCell ref="H55:I57"/>
  </mergeCells>
  <conditionalFormatting sqref="D79:E79">
    <cfRule type="expression" dxfId="0" priority="1" stopIfTrue="1">
      <formula>MOD(ROW(),2)=0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PT2018</vt:lpstr>
      <vt:lpstr>DF2018</vt:lpstr>
      <vt:lpstr>TE2018</vt:lpstr>
      <vt:lpstr>Causas Mortalidad 2018</vt:lpstr>
      <vt:lpstr>Causas Mortalidad 2005</vt:lpstr>
      <vt:lpstr>Causas Mortalidad 2005 Residenc</vt:lpstr>
      <vt:lpstr>DF2005</vt:lpstr>
      <vt:lpstr>TEM2005</vt:lpstr>
      <vt:lpstr>Análisis Longitudinal</vt:lpstr>
      <vt:lpstr>AL_Riohacha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</dc:creator>
  <cp:lastModifiedBy>Usuario</cp:lastModifiedBy>
  <dcterms:created xsi:type="dcterms:W3CDTF">2023-10-27T04:16:00Z</dcterms:created>
  <dcterms:modified xsi:type="dcterms:W3CDTF">2023-11-21T04:32:52Z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3310B5CC3F0043F18F78E1488464719F_13</vt:lpwstr>
  </property>
  <property fmtid="{D5CDD505-2E9C-101B-9397-08002B2CF9AE}" pid="3" name="KSOProductBuildVer">
    <vt:lpwstr>1033-12.2.0.13306</vt:lpwstr>
  </property>
</Properties>
</file>